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caid\Downloads\"/>
    </mc:Choice>
  </mc:AlternateContent>
  <xr:revisionPtr revIDLastSave="0" documentId="13_ncr:1_{9368D9EE-2B7B-4583-9F1B-4D744327A3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registrement" sheetId="2" r:id="rId1"/>
    <sheet name="Visite PNS" sheetId="7" r:id="rId2"/>
    <sheet name="Exeat PNS" sheetId="8" r:id="rId3"/>
    <sheet name="Visite PTA" sheetId="9" r:id="rId4"/>
    <sheet name="Exeat PTA" sheetId="10" r:id="rId5"/>
    <sheet name="Visite USN" sheetId="11" r:id="rId6"/>
    <sheet name="Exeat USN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2" l="1" a="1"/>
  <c r="C15" i="12" s="1"/>
  <c r="C21" i="11" a="1"/>
  <c r="C21" i="11" s="1"/>
  <c r="C37" i="9" a="1"/>
  <c r="C37" i="9" s="1"/>
  <c r="C25" i="7" a="1"/>
  <c r="C25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<sst xmlns="http://schemas.openxmlformats.org/spreadsheetml/2006/main" count="1670" uniqueCount="690">
  <si>
    <t>Sortie</t>
  </si>
  <si>
    <t>Exéat</t>
  </si>
  <si>
    <t>Suivi</t>
  </si>
  <si>
    <t>Nom du personel médical</t>
  </si>
  <si>
    <t>Text</t>
  </si>
  <si>
    <t>Informations démographique</t>
  </si>
  <si>
    <t>No dossier</t>
  </si>
  <si>
    <t>Nom et prénom de la personne responsable</t>
  </si>
  <si>
    <t>Date de naissance</t>
  </si>
  <si>
    <t>Date</t>
  </si>
  <si>
    <t>. &lt; today()</t>
  </si>
  <si>
    <t>Sexe</t>
  </si>
  <si>
    <t>Departement</t>
  </si>
  <si>
    <t>Commune</t>
  </si>
  <si>
    <t>Section communale</t>
  </si>
  <si>
    <t>Adresse</t>
  </si>
  <si>
    <t>Résumé</t>
  </si>
  <si>
    <t>Eske w konfime tout enfomasyon sa yo korek?</t>
  </si>
  <si>
    <t>Oui</t>
  </si>
  <si>
    <t>Prise en charge</t>
  </si>
  <si>
    <t>Type d'intervention</t>
  </si>
  <si>
    <t>Wi</t>
  </si>
  <si>
    <t>. &gt; today() - 2 and . &lt;= today()</t>
  </si>
  <si>
    <t>Admission</t>
  </si>
  <si>
    <t>Type de visite</t>
  </si>
  <si>
    <t>Intervention</t>
  </si>
  <si>
    <t>PSN</t>
  </si>
  <si>
    <t>Poids (kg)</t>
  </si>
  <si>
    <t>. &lt; 50 or . = 999</t>
  </si>
  <si>
    <t>Taille (en cm)</t>
  </si>
  <si>
    <t>. &lt; 150 or . = 999</t>
  </si>
  <si>
    <t>P/T</t>
  </si>
  <si>
    <t>Oedème</t>
  </si>
  <si>
    <t>PB (en mm)</t>
  </si>
  <si>
    <t>. &lt; 200 or . = 999</t>
  </si>
  <si>
    <t>Indice de Masse Corporelle (IMC)</t>
  </si>
  <si>
    <t>Origine</t>
  </si>
  <si>
    <t>Autres, préciser</t>
  </si>
  <si>
    <t>Suppléments</t>
  </si>
  <si>
    <t>Précisez, autres:</t>
  </si>
  <si>
    <t>Quantité de suppléments recommendée</t>
  </si>
  <si>
    <t>. &lt; 100 or . = 999</t>
  </si>
  <si>
    <t>Quantité de suppléments livrée</t>
  </si>
  <si>
    <t>TR (HIV)</t>
  </si>
  <si>
    <t>Administration de Albendazole</t>
  </si>
  <si>
    <t>Temperature</t>
  </si>
  <si>
    <t>Date administration Albendazole</t>
  </si>
  <si>
    <t>Quantite (en mg)</t>
  </si>
  <si>
    <t>Comorbidités</t>
  </si>
  <si>
    <t>Autres facteurs</t>
  </si>
  <si>
    <t>Prochain rendez-vous</t>
  </si>
  <si>
    <t>PTA</t>
  </si>
  <si>
    <t>Poids (en kg)</t>
  </si>
  <si>
    <t>MUAC</t>
  </si>
  <si>
    <t>. &lt; 500 or . = 999</t>
  </si>
  <si>
    <t>Autres suppléments</t>
  </si>
  <si>
    <t>Date d'administration albendazole</t>
  </si>
  <si>
    <t>Administration de Amoxycilline</t>
  </si>
  <si>
    <t>Commorbidités</t>
  </si>
  <si>
    <t>Eske w konfime enfomasyon sa yo korek?</t>
  </si>
  <si>
    <t>Date d'admission</t>
  </si>
  <si>
    <t>. &lt;= today()</t>
  </si>
  <si>
    <t>Date de l'exéat</t>
  </si>
  <si>
    <t>notes</t>
  </si>
  <si>
    <t>Statut</t>
  </si>
  <si>
    <t>remarques</t>
  </si>
  <si>
    <t>Eske w konfime ke tout enfomasyon sa yo korek?</t>
  </si>
  <si>
    <t>'Non applicable'</t>
  </si>
  <si>
    <t>Date  d'admission</t>
  </si>
  <si>
    <t>Date d'exeat</t>
  </si>
  <si>
    <t>Administration de Vitamine A</t>
  </si>
  <si>
    <t>Quantite (en ui)</t>
  </si>
  <si>
    <t>Remarques</t>
  </si>
  <si>
    <t>Impression clinique</t>
  </si>
  <si>
    <t>Traitement</t>
  </si>
  <si>
    <t>Médicaments administrés</t>
  </si>
  <si>
    <t>Mentionnez le nom de l'autre médicament que le patient a reçu</t>
  </si>
  <si>
    <t>Date de l'admission</t>
  </si>
  <si>
    <t>Poids en kg</t>
  </si>
  <si>
    <t>Taille en cm</t>
  </si>
  <si>
    <t>Ecart-type</t>
  </si>
  <si>
    <t>Diagnostique</t>
  </si>
  <si>
    <t>Remarque</t>
  </si>
  <si>
    <t>Date d'enregistrement</t>
  </si>
  <si>
    <t>Sites</t>
  </si>
  <si>
    <t>Nom</t>
  </si>
  <si>
    <t>Prénom</t>
  </si>
  <si>
    <t xml:space="preserve">Numéro de téléphone </t>
  </si>
  <si>
    <t>Type d'allaitement</t>
  </si>
  <si>
    <t>Allaitement continue jusqu'a 24 mois?</t>
  </si>
  <si>
    <t xml:space="preserve">Enfant Complètement Vacciné (ECV)  </t>
  </si>
  <si>
    <t>Eske w konfime tout enfomasyon yo korek?</t>
  </si>
  <si>
    <t>Yes</t>
  </si>
  <si>
    <t>yes</t>
  </si>
  <si>
    <t>Question</t>
  </si>
  <si>
    <t>Type</t>
  </si>
  <si>
    <t>Text (en)</t>
  </si>
  <si>
    <t>Audio (en)</t>
  </si>
  <si>
    <t>Image (en)</t>
  </si>
  <si>
    <t>Video (en)</t>
  </si>
  <si>
    <t>Video Inline (en)</t>
  </si>
  <si>
    <t>Display Condition</t>
  </si>
  <si>
    <t>Validation Condition</t>
  </si>
  <si>
    <t>Validation Message</t>
  </si>
  <si>
    <t>Calculate Condition</t>
  </si>
  <si>
    <t>Required</t>
  </si>
  <si>
    <t>Hint Text</t>
  </si>
  <si>
    <t>Help Text</t>
  </si>
  <si>
    <t>Comment</t>
  </si>
  <si>
    <t>/informations_demographique</t>
  </si>
  <si>
    <t>Question List</t>
  </si>
  <si>
    <t>no</t>
  </si>
  <si>
    <t>/informations_demographique/date_denregistrement</t>
  </si>
  <si>
    <t>/informations_demographique/sites</t>
  </si>
  <si>
    <t>Multiple Choice</t>
  </si>
  <si>
    <t>/informations_demographique/sites-HSN</t>
  </si>
  <si>
    <t>Choice</t>
  </si>
  <si>
    <t>HSN</t>
  </si>
  <si>
    <t>/informations_demographique/sites-Hinche</t>
  </si>
  <si>
    <t>Hinche</t>
  </si>
  <si>
    <t>/informations_demographique/sites-Thomonde</t>
  </si>
  <si>
    <t>Thomonde</t>
  </si>
  <si>
    <t>/informations_demographique/sites-Cange</t>
  </si>
  <si>
    <t>Cange</t>
  </si>
  <si>
    <t>/informations_demographique/sites-Mirebalais</t>
  </si>
  <si>
    <t>Mirebalais</t>
  </si>
  <si>
    <t>/informations_demographique/sites-Lascahobas</t>
  </si>
  <si>
    <t>Lascahobas</t>
  </si>
  <si>
    <t>/informations_demographique/sites-Boucan_Carre</t>
  </si>
  <si>
    <t>Boucan Carre</t>
  </si>
  <si>
    <t>/informations_demographique/sites-Belladere</t>
  </si>
  <si>
    <t>Belladere</t>
  </si>
  <si>
    <t>/informations_demographique/sites-Verrettes</t>
  </si>
  <si>
    <t>Verrettes</t>
  </si>
  <si>
    <t>/informations_demographique/sites-PRA</t>
  </si>
  <si>
    <t>PRA</t>
  </si>
  <si>
    <t>/informations_demographique/sites-Cerca_la_source</t>
  </si>
  <si>
    <t>Cerca la source</t>
  </si>
  <si>
    <t>/informations_demographique/sites-Baille_tourible</t>
  </si>
  <si>
    <t>Baille tourible</t>
  </si>
  <si>
    <t>/informations_demographique/nom_du_personel_medical</t>
  </si>
  <si>
    <t>/informations_demographique/no_dossier</t>
  </si>
  <si>
    <t>/informations_demographique/nom_de_lenfant</t>
  </si>
  <si>
    <t>/informations_demographique/prenom_de_lenfant</t>
  </si>
  <si>
    <t>/informations_demographique/nom_et_prenom_de_la_personne_responsable</t>
  </si>
  <si>
    <t>/informations_demographique/numero_de_telephone_de_la_personne_responsable</t>
  </si>
  <si>
    <t>Phone Number or Numeric ID</t>
  </si>
  <si>
    <t>/informations_demographique/date_naissance</t>
  </si>
  <si>
    <t>/informations_demographique/age__mois</t>
  </si>
  <si>
    <t>Hidden Value</t>
  </si>
  <si>
    <t>int((date(#form/informations_demographique/date_denregistrement) - date(#form/informations_demographique/date_naissance)) div 30.4)</t>
  </si>
  <si>
    <t>/informations_demographique/sexe</t>
  </si>
  <si>
    <t>/informations_demographique/sexe-M</t>
  </si>
  <si>
    <t>M</t>
  </si>
  <si>
    <t>/informations_demographique/sexe-F</t>
  </si>
  <si>
    <t>F</t>
  </si>
  <si>
    <t>/informations_demographique/type_dallaitement</t>
  </si>
  <si>
    <t>/informations_demographique/type_dallaitement-allaitement_exclusif</t>
  </si>
  <si>
    <t>Allaitement exclusif</t>
  </si>
  <si>
    <t>/informations_demographique/type_dallaitement-allaitement_artificiel</t>
  </si>
  <si>
    <t>Allaitement artificiel</t>
  </si>
  <si>
    <t>/informations_demographique/type_dallaitement-allaitement_mixte</t>
  </si>
  <si>
    <t>Allaitement Mixte</t>
  </si>
  <si>
    <t>/informations_demographique/allaitement_continue_jusqua_24_mois</t>
  </si>
  <si>
    <t>#form/informations_demographique/age__mois &gt;= 24</t>
  </si>
  <si>
    <t>/informations_demographique/allaitement_continue_jusqua_24_mois-oui</t>
  </si>
  <si>
    <t>/informations_demographique/allaitement_continue_jusqua_24_mois-non</t>
  </si>
  <si>
    <t>Non</t>
  </si>
  <si>
    <t>/informations_demographique/ecv</t>
  </si>
  <si>
    <t>/informations_demographique/ecv-oui</t>
  </si>
  <si>
    <t>/informations_demographique/ecv-non</t>
  </si>
  <si>
    <t>/informations_demographique/departement</t>
  </si>
  <si>
    <t>/informations_demographique/departement-Departement_du_Nord-Est</t>
  </si>
  <si>
    <t>Département du Nord-Est</t>
  </si>
  <si>
    <t>/informations_demographique/departement-Departement_du_Sud</t>
  </si>
  <si>
    <t>Département du Sud</t>
  </si>
  <si>
    <t>/informations_demographique/departement-Departement_des_Nippes</t>
  </si>
  <si>
    <t>Département des Nippes</t>
  </si>
  <si>
    <t>/informations_demographique/departement-Departement_de_la_Grande-Anse</t>
  </si>
  <si>
    <t>Département de la Grande-Anse</t>
  </si>
  <si>
    <t>/informations_demographique/departement-Departement_du_Nord-Ouest</t>
  </si>
  <si>
    <t>Département du Nord-Ouest</t>
  </si>
  <si>
    <t>/informations_demographique/departement-Departement_du_Nord</t>
  </si>
  <si>
    <t>Département du Nord</t>
  </si>
  <si>
    <t>/informations_demographique/departement-Departement_du_Sud-Est</t>
  </si>
  <si>
    <t>Département du Sud-Est</t>
  </si>
  <si>
    <t>/informations_demographique/departement-Departement_du_Centre</t>
  </si>
  <si>
    <t>Département du Centre</t>
  </si>
  <si>
    <t>/informations_demographique/departement-Departement_de_lOuest</t>
  </si>
  <si>
    <t>Département de l'Ouest</t>
  </si>
  <si>
    <t>/informations_demographique/departement-Departement_de_lArtibonite</t>
  </si>
  <si>
    <t>Département de l'Artibonite</t>
  </si>
  <si>
    <t>/informations_demographique/commune</t>
  </si>
  <si>
    <t>Multiple Choice Lookup Table</t>
  </si>
  <si>
    <t>Lookup Table Data</t>
  </si>
  <si>
    <t>/informations_demographique/section</t>
  </si>
  <si>
    <t>/informations_demographique/adresse</t>
  </si>
  <si>
    <t>/informations_demographique/admission</t>
  </si>
  <si>
    <t>/informations_demographique/admission-oui</t>
  </si>
  <si>
    <t>/informations_demographique/admission-non</t>
  </si>
  <si>
    <t>/informations_demographique/admission1</t>
  </si>
  <si>
    <t>#form/informations_demographique/admission</t>
  </si>
  <si>
    <t>/informations_demographique/prise</t>
  </si>
  <si>
    <t>#form/informations_demographique/admission = 'oui'</t>
  </si>
  <si>
    <t>/informations_demographique/prise-PNS</t>
  </si>
  <si>
    <t>PNS</t>
  </si>
  <si>
    <t>/informations_demographique/prise-PTA</t>
  </si>
  <si>
    <t>/informations_demographique/prise-USN</t>
  </si>
  <si>
    <t>USN</t>
  </si>
  <si>
    <t>/informations_demographique/prise1</t>
  </si>
  <si>
    <t>#form/informations_demographique/prise</t>
  </si>
  <si>
    <t>/informations_demographique/type_int</t>
  </si>
  <si>
    <t>#form/informations_demographique/prise != 'USN'</t>
  </si>
  <si>
    <t>/informations_demographique/type_int-Communautaire</t>
  </si>
  <si>
    <t>Communautaire</t>
  </si>
  <si>
    <t>/informations_demographique/type_int-Institutionnel</t>
  </si>
  <si>
    <t>Institutionnel</t>
  </si>
  <si>
    <t>/resume</t>
  </si>
  <si>
    <t>/resume/question1</t>
  </si>
  <si>
    <t>Label</t>
  </si>
  <si>
    <t>Date d'enregistrement:&lt;output value="format-date(date(#form/informations_demographique/date_denregistrement), '%a, %b %e, %Y')" /&gt;_x000D_
Sites:&lt;output value="#form/informations_demographique/sites" /&gt;_x000D_
Nom :&lt;output value="#form/informations_demographique/nom_de_lenfant" /&gt;_x000D_
Prénom :&lt;output value="#form/informations_demographique/prenom_de_lenfant" /&gt;_x000D_
Personne responsable: &lt;output value="#form/informations_demographique/nom_et_prenom_de_la_personne_responsable" /&gt;_x000D_
Numéro de téléphone :&lt;output value="#form/informations_demographique/numero_de_telephone_de_la_personne_responsable" /&gt;_x000D_
Date de naissance :&lt;output value="format-date(date(#form/informations_demographique/date_naissance), '%a, %b %e, %Y')" /&gt;  _x000D_
Sexe :&lt;output value="#form/informations_demographique/sexe" /&gt;_x000D_
Type d'allaitement :&lt;output value="#form/informations_demographique/type_dallaitement" /&gt;_x000D_
Allaitement continue jusqu'a 24 mois?:&lt;output value="#form/informations_demographique/allaitement_continue_jusqua_24_mois" /&gt;_x000D_
Enfant Complètement Vacciné (ECV) :&lt;output value="#form/informations_demographique/ecv" /&gt;_x000D_
Adresse :&lt;output value="#form/informations_demographique/adresse" /&gt;_x000D_
Admission : &lt;output value="#form/informations_demographique/admission" /&gt; _x000D_
Prise en charge :&lt;output value="#form/informations_demographique/prise" /&gt;_x000D_
Type d'intervention :&lt;output value="#form/informations_demographique/type_int" /&gt;</t>
  </si>
  <si>
    <t>/resume/eske_w_konfime_tout_enfomasyon_yo_korek</t>
  </si>
  <si>
    <t>/resume/eske_w_konfime_tout_enfomasyon_yo_korek-yes</t>
  </si>
  <si>
    <t>/age__mois</t>
  </si>
  <si>
    <t>int((today() - date(#case/date_naissance)) div 30.4)</t>
  </si>
  <si>
    <t>/ou_seleksyone_nom_prenom_enfant_seks_li_se_sexe_li_gen_age__mois__li_rete_a</t>
  </si>
  <si>
    <t xml:space="preserve">Ou seleksyone " &lt;output value="#case/nom_de_lenfant" /&gt;  &lt;output value="#case/prenom_de_lenfant" /&gt; ", seks li se &lt;output value="#case/sexe" /&gt; eli gen &lt;output value="#form/age__mois" /&gt;  mwa. Li rete &lt;output value="#case/adresse" /&gt; e moun ki responsab li se &lt;output value="#case/nom_prenom_responsable" /&gt; . Li fe pati group &lt;output value="#case/prise1" /&gt; ._x000D_
Nan denye vizit li, li t peze &lt;output value="#case/poids_kg_pns" /&gt;  kg  , PB li t &lt;output value="#case/pb_pns" /&gt;  mm et P/T li &lt;output value="#case/pt_pns" /&gt;, &lt;output value="#case/oedeme_pns" /&gt; </t>
  </si>
  <si>
    <t>/nb_visite_pns</t>
  </si>
  <si>
    <t>coalesce(#case/nb_visite_pns, 0) + 1</t>
  </si>
  <si>
    <t>/copy-1-of-ou_seleksyone_nom_prenom_enfant_seks_li_se_sexe_li_gen_age__mois__li_rete_a</t>
  </si>
  <si>
    <t>"&lt;output value="#case/nom_de_lenfant" /&gt;   &lt;output value="#case/prenom_de_lenfant" /&gt; " gen &lt;output value="#case/nb_visite_pns" /&gt;  vizit deja._x000D_
Nan denye vizit li, li t peze&lt;output value="#case/poids_kg_pns" /&gt; kg , li te mezire &lt;output value="#case/taille_en_cm_pns" /&gt;  cm, PB li t &lt;output value="#case/pb_pns" /&gt; mm et P/T li &lt;output value="#case/pt_pns" /&gt;, li te pran albendazole nan dat ki te &lt;output value="#case/date_administration_albendazole_usn" /&gt; nan USN &lt;output value="#case/date_dadministration_albendazole_pta" /&gt; nan PTA epi &lt;output value="#case/date_administration_albendazole_pns" /&gt;  nan PNS</t>
  </si>
  <si>
    <t>#form/nb_visite_pns &gt; 0</t>
  </si>
  <si>
    <t>/nom_du_personel_medical</t>
  </si>
  <si>
    <t>/type_de_visite_pns</t>
  </si>
  <si>
    <t>/type_de_visite_pns-admission</t>
  </si>
  <si>
    <t>/type_de_visite_pns-suivi</t>
  </si>
  <si>
    <t>/Intervention</t>
  </si>
  <si>
    <t>/Intervention-institutionnel</t>
  </si>
  <si>
    <t>/Intervention-communautaire</t>
  </si>
  <si>
    <t>/date_visite</t>
  </si>
  <si>
    <t>/date_admission_pns</t>
  </si>
  <si>
    <t>#form/type_de_visite_pns = 'admission'</t>
  </si>
  <si>
    <t>#form/date_visite</t>
  </si>
  <si>
    <t>/psn</t>
  </si>
  <si>
    <t>/psn/poids_kg</t>
  </si>
  <si>
    <t>Decimal</t>
  </si>
  <si>
    <t>/psn/poids_adm_pns</t>
  </si>
  <si>
    <t>#form/psn/poids_kg</t>
  </si>
  <si>
    <t>/psn/gain_poids_pns</t>
  </si>
  <si>
    <t>#form/psn/poids_kg - #case/poids_adm_pns</t>
  </si>
  <si>
    <t>/psn/gain_poids_pns_derniere</t>
  </si>
  <si>
    <t>#form/psn/poids_kg - #case/poids_pns</t>
  </si>
  <si>
    <t>/psn/gain_de_poids_par_rapport_au_poids_a_ladmission</t>
  </si>
  <si>
    <t>Gain de poids (par rapport au poids a l'admission) = &lt;output value="#form/psn/gain_poids_pns" /&gt; kg_x000D_
Gain de poids (par rapport au poids a la derniere visite) = &lt;output value="#form/psn/gain_poids_pns_derniere" /&gt;  kg</t>
  </si>
  <si>
    <t>/psn/taille_en_cm</t>
  </si>
  <si>
    <t>/psn/pt</t>
  </si>
  <si>
    <t>#form/age__mois &lt; 60</t>
  </si>
  <si>
    <t>/psn/pt-1</t>
  </si>
  <si>
    <t>&lt; Médiane</t>
  </si>
  <si>
    <t>/psn/pt-2</t>
  </si>
  <si>
    <t>&amp;gt; Médiane</t>
  </si>
  <si>
    <t>/psn/pt-3</t>
  </si>
  <si>
    <t>/psn/pt-4</t>
  </si>
  <si>
    <t>&lt; -1 ET</t>
  </si>
  <si>
    <t>/psn/pt-5</t>
  </si>
  <si>
    <t>&amp;gt; -1 ET</t>
  </si>
  <si>
    <t>/psn/pt-6</t>
  </si>
  <si>
    <t>= -1 ET</t>
  </si>
  <si>
    <t>/psn/pt-7</t>
  </si>
  <si>
    <t>&lt; -2 ET</t>
  </si>
  <si>
    <t>/psn/pt-8</t>
  </si>
  <si>
    <t>&amp;gt; -2 ET</t>
  </si>
  <si>
    <t>/psn/pt-9</t>
  </si>
  <si>
    <t>= -2 ET</t>
  </si>
  <si>
    <t>/psn/pt-10</t>
  </si>
  <si>
    <t>&lt; -3 ET</t>
  </si>
  <si>
    <t>/psn/pt-11</t>
  </si>
  <si>
    <t>&amp;gt; -3 ET</t>
  </si>
  <si>
    <t>/psn/pt-12</t>
  </si>
  <si>
    <t>= -3 ET</t>
  </si>
  <si>
    <t>/psn/pt-13</t>
  </si>
  <si>
    <t>&lt; -4 ET</t>
  </si>
  <si>
    <t>/psn/pt-14</t>
  </si>
  <si>
    <t>&amp;gt; -4 ET</t>
  </si>
  <si>
    <t>/psn/pt-15</t>
  </si>
  <si>
    <t>= -4 ET</t>
  </si>
  <si>
    <t>/psn/oedeme</t>
  </si>
  <si>
    <t>/psn/oedeme-1</t>
  </si>
  <si>
    <t>+</t>
  </si>
  <si>
    <t>/psn/oedeme-2</t>
  </si>
  <si>
    <t>++</t>
  </si>
  <si>
    <t>/psn/oedeme-3</t>
  </si>
  <si>
    <t>+++</t>
  </si>
  <si>
    <t>/psn/oedeme-4</t>
  </si>
  <si>
    <t>-</t>
  </si>
  <si>
    <t>/psn/pb</t>
  </si>
  <si>
    <t>#form/age__mois &lt;= 59</t>
  </si>
  <si>
    <t>/psn/indice_de_masse_corporelle_imc</t>
  </si>
  <si>
    <t>#form/age__mois &gt;= 60</t>
  </si>
  <si>
    <t>/psn/origine</t>
  </si>
  <si>
    <t>/psn/origine-NC</t>
  </si>
  <si>
    <t>NC (Nouveau Cas)</t>
  </si>
  <si>
    <t>/psn/origine-PTA</t>
  </si>
  <si>
    <t>PTA (Programme Thérapeutique Ambulatoire)</t>
  </si>
  <si>
    <t>/psn/origine-USN</t>
  </si>
  <si>
    <t>USN (Unité de Stabilisation Nutritionnel)</t>
  </si>
  <si>
    <t>/psn/origine-RECH</t>
  </si>
  <si>
    <t>RECH (Rechute)</t>
  </si>
  <si>
    <t>/psn/origine-RANR</t>
  </si>
  <si>
    <t>RANR  (Réadmission Après non répondant)</t>
  </si>
  <si>
    <t>/psn/origine-AC</t>
  </si>
  <si>
    <t>AC (Anciens cas)</t>
  </si>
  <si>
    <t>/psn/origine-RAA</t>
  </si>
  <si>
    <t>RAA (Réadmission après Abandon)</t>
  </si>
  <si>
    <t>/psn/origine-Autres</t>
  </si>
  <si>
    <t>Autres</t>
  </si>
  <si>
    <t>/psn/autres_origine</t>
  </si>
  <si>
    <t>#form/psn/origine = 'Autres'</t>
  </si>
  <si>
    <t>/psn/supplements</t>
  </si>
  <si>
    <t>/psn/supplements-Plumpy-nut</t>
  </si>
  <si>
    <t>Plumpy-nut (92 gr)</t>
  </si>
  <si>
    <t>/psn/supplements-Nourimanba</t>
  </si>
  <si>
    <t>Nourrimanba (1 kg)</t>
  </si>
  <si>
    <t>/psn/supplements-Plumpy-sup</t>
  </si>
  <si>
    <t>Plumpy-sup (92 gr)</t>
  </si>
  <si>
    <t>/psn/supplements-Nourrimil</t>
  </si>
  <si>
    <t>Nourrimil</t>
  </si>
  <si>
    <t>/psn/supplements-autres</t>
  </si>
  <si>
    <t>/psn/supplements-non_disponible</t>
  </si>
  <si>
    <t>Non disponible</t>
  </si>
  <si>
    <t>/psn/precisez_autres</t>
  </si>
  <si>
    <t>#form/psn/supplements = 'autres'</t>
  </si>
  <si>
    <t>/psn/Quantite_de_supplements_recomendes</t>
  </si>
  <si>
    <t>#form/psn/supplements != "non_disponible"</t>
  </si>
  <si>
    <t>/psn/quantite_de_supplements_livrees</t>
  </si>
  <si>
    <t>Integer</t>
  </si>
  <si>
    <t>/psn/tr_hiv</t>
  </si>
  <si>
    <t>/psn/tr_hiv-Positif</t>
  </si>
  <si>
    <t>Positif (+)</t>
  </si>
  <si>
    <t>/psn/tr_hiv-Negatif</t>
  </si>
  <si>
    <t>Négatif (-)</t>
  </si>
  <si>
    <t>/psn/tr_hiv-Non_realise</t>
  </si>
  <si>
    <t>Non réalisé</t>
  </si>
  <si>
    <t>/psn/administration_de_albendazole</t>
  </si>
  <si>
    <t>/psn/administration_de_albendazole-oui</t>
  </si>
  <si>
    <t>/psn/administration_de_albendazole-non</t>
  </si>
  <si>
    <t>/psn/temperature</t>
  </si>
  <si>
    <t>/psn/temperature-moins_de_35.5</t>
  </si>
  <si>
    <t>Moins de 35.5 oC</t>
  </si>
  <si>
    <t>/psn/temperature-35.5-36.5</t>
  </si>
  <si>
    <t>35.5 - 36.5 oC</t>
  </si>
  <si>
    <t>/psn/temperature-36.5-37.5</t>
  </si>
  <si>
    <t>36.5 - 37.5 oC</t>
  </si>
  <si>
    <t>/psn/date_administration_albendazole_pns</t>
  </si>
  <si>
    <t>#form/psn/administration_de_albendazole = 'oui'</t>
  </si>
  <si>
    <t>/psn/quantite_en_mg</t>
  </si>
  <si>
    <t>/psn/comorbidites</t>
  </si>
  <si>
    <t>/psn/autres_facteurs</t>
  </si>
  <si>
    <t>/psn/prochain_rendez-vous</t>
  </si>
  <si>
    <t>/question1</t>
  </si>
  <si>
    <t>/question1/type_de_visite__type_de_visite_pns_date__date_visite_poids_kg__poids_kg_tai</t>
  </si>
  <si>
    <t xml:space="preserve">Type de visite :&lt;output value="#form/type_de_visite_pns" /&gt; _x000D_
Date :&lt;output value="format-date(date(#form/date_visite), '%a, %b %e, %Y')" /&gt; _x000D_
Poids (kg) :&lt;output value="#form/psn/poids_kg" /&gt; _x000D_
Taille (en cm) :&lt;output value="#form/psn/taille_en_cm" /&gt; _x000D_
PB (en mm) :&lt;output value="#form/psn/pb" /&gt; _x000D_
Origine: &lt;output value="#form/psn/origine" /&gt; _x000D_
Suppléments :&lt;output value="#form/psn/supplements" /&gt; _x000D_
Quantité de suppléments recommendée :&lt;output value="#form/psn/Quantite_de_supplements_recomendes" /&gt; _x000D_
Quantité de suppléments livrée :&lt;output value="#form/psn/quantite_de_supplements_livrees" /&gt; _x000D_
TR (HIV) :&lt;output value="#form/psn/tr_hiv" /&gt; _x000D_
Administration de Albendazole :&lt;output value="#form/psn/administration_de_albendazole" /&gt; _x000D_
Quantite (en mg) :&lt;output value="#form/psn/quantite_en_mg" /&gt; _x000D_
Comorbidités :&lt;output value="#form/psn/comorbidites" /&gt; _x000D_
Prochain rendez-vous :&lt;output value="format-date(date(#form/psn/prochain_rendez-vous), '%a, %b %e, %Y')" /&gt; </t>
  </si>
  <si>
    <t>/question1/eske_w_konfime_tout_enfomasyon_sa_yo_korek</t>
  </si>
  <si>
    <t>/question1/eske_w_konfime_tout_enfomasyon_sa_yo_korek-wi</t>
  </si>
  <si>
    <t>/sortie</t>
  </si>
  <si>
    <t>/sortie/dat_ke_nom_de_lenfant_prenom_de_lenfant_te_admet_nan_pns_se_date_admission_</t>
  </si>
  <si>
    <t>Dat ke " &lt;output value="#case/nom_de_lenfant" /&gt; &lt;output value="#case/prenom_de_lenfant" /&gt; " te admet nan PNS se &lt;output value="#case/date_admission_pns" /&gt;. Li fe &lt;output value="#case/nb_visite_pns" /&gt; vizit nan PNS.</t>
  </si>
  <si>
    <t>/sortie/date_dadmission</t>
  </si>
  <si>
    <t>/sortie/date_de_lexeat</t>
  </si>
  <si>
    <t>. &gt; #case/date_denregistrement and . &gt; today() - 2 and . &lt;= today()</t>
  </si>
  <si>
    <t>/sortie/notes</t>
  </si>
  <si>
    <t>/sortie/notes/Duree_de_sejour</t>
  </si>
  <si>
    <t>int(#form/sortie/date_de_lexeat - #form/sortie/date_dadmission)</t>
  </si>
  <si>
    <t>/sortie/notes/la_duree_de_sejour_de_nom_prenom_enfant_dans_le_programme_pta_est_de_duree_</t>
  </si>
  <si>
    <t>La durée de sejour de " &lt;output value="#case/nom_de_lenfant" /&gt; &lt;output value="#case/prenom_de_lenfant" /&gt; " dans le programme est de &lt;output value="#form/sortie/notes/Duree_de_sejour" /&gt;  jours.</t>
  </si>
  <si>
    <t>/sortie/poids_kg</t>
  </si>
  <si>
    <t>/sortie/gain_poids_exeat</t>
  </si>
  <si>
    <t>#form/sortie/poids_kg - #case/poids_adm_pns</t>
  </si>
  <si>
    <t>/sortie/gain_de_poids_par_rapport_au_poids_a_ladmission</t>
  </si>
  <si>
    <t>Gain de poids (par rapport au poids a l'admission) = &lt;output value="#form/sortie/gain_poids_exeat" /&gt; kg</t>
  </si>
  <si>
    <t>/sortie/exeat</t>
  </si>
  <si>
    <t>/sortie/exeat-Gueri</t>
  </si>
  <si>
    <t>Guéri</t>
  </si>
  <si>
    <t>/sortie/exeat-Mort</t>
  </si>
  <si>
    <t>Mort</t>
  </si>
  <si>
    <t>/sortie/exeat-Abandon</t>
  </si>
  <si>
    <t>Abandon</t>
  </si>
  <si>
    <t>/sortie/exeat-Transfert_en_PTA</t>
  </si>
  <si>
    <t>Transfert en PTA</t>
  </si>
  <si>
    <t>/sortie/exeat-transfert_usn</t>
  </si>
  <si>
    <t>Transfert USN</t>
  </si>
  <si>
    <t>/sortie/exeat-non_repondant</t>
  </si>
  <si>
    <t>Non répondant</t>
  </si>
  <si>
    <t>/sortie/exeat-transfert_ailleurs</t>
  </si>
  <si>
    <t>Transfert ailleurs</t>
  </si>
  <si>
    <t>/sortie/remarques</t>
  </si>
  <si>
    <t>/sortie/Intervention</t>
  </si>
  <si>
    <t>/sortie/Intervention-institutionnel</t>
  </si>
  <si>
    <t>/sortie/Intervention-communautaire</t>
  </si>
  <si>
    <t>/sortie/copy-1-of-nom_du_personel_medical</t>
  </si>
  <si>
    <t>/question1/date_dadmission__date_dadmission_date_de_lexat__date_de_lexeat_poids_kg__po</t>
  </si>
  <si>
    <t xml:space="preserve">Date d'admission :&lt;output value="format-date(date(#form/sortie/date_dadmission), '%a, %b %e, %Y')" /&gt; _x000D_
Date de l'exéat :&lt;output value="format-date(date(#form/sortie/date_de_lexeat), '%a, %b %e, %Y')" /&gt; _x000D_
Poids (kg) :&lt;output value="#form/sortie/poids_kg" /&gt; _x000D_
Statut :&lt;output value="#form/sortie/exeat" /&gt; </t>
  </si>
  <si>
    <t>/question1/eske_w_konfime_ke_tout_enfomasyon_sa_yo_korek</t>
  </si>
  <si>
    <t>/question1/eske_w_konfime_ke_tout_enfomasyon_sa_yo_korek-wi</t>
  </si>
  <si>
    <t>/close_case_pns</t>
  </si>
  <si>
    <t>if(#form/sortie/exeat = 'Mort', "Oui", "Non")</t>
  </si>
  <si>
    <t>/prise1</t>
  </si>
  <si>
    <t>if(#form/sortie/exeat = 'Transfert_en_PTA' or #form/sortie/exeat = 'transfert_usn', 'Oui', 'Non')</t>
  </si>
  <si>
    <t>/Provenance</t>
  </si>
  <si>
    <t>if(#form/prise1 = 'Oui', 'PNS', 'Autres')</t>
  </si>
  <si>
    <t>/exeat_pta</t>
  </si>
  <si>
    <t xml:space="preserve">Ou seleksyone " &lt;output value="#case/nom_de_lenfant" /&gt;   &lt;output value="#case/prenom_de_lenfant" /&gt; ", seks li se &lt;output value="#case/sexe" /&gt; et li gen  &lt;output value="#form/age__mois" /&gt;  mwa. Li rete &lt;output value="#case/adresse" /&gt; e moun ki responsab li se &lt;output value="#case/nom_prenom_responsable" /&gt; . Li fe pati group &lt;output value="#case/prise1" /&gt;  ._x000D_
Nan denye vizit li, li te peze &lt;output value="#case/poids_pta" /&gt; kg e P/T li se&lt;output value="#case/pt_pta" /&gt;, &lt;output value="#case/oedeme_pta" /&gt; </t>
  </si>
  <si>
    <t>/nb_visite_pta</t>
  </si>
  <si>
    <t>coalesce(#case/nb_visite_pta, 0) + 1</t>
  </si>
  <si>
    <t>"&lt;output value="#case/nom_de_lenfant" /&gt;    &lt;output value="#case/prenom_de_lenfant" /&gt; " gentan fe &lt;output value="#case/nb_visite_pta" /&gt; vizit nan PTA._x000D_
Nan denye vizit li, li te peze &lt;output value="#case/poids_pta" /&gt; kg, li te mezire &lt;output value="#case/taille_pta" /&gt;  cm e P/T li se&lt;output value="#case/pt_pta" /&gt;, PB li te &lt;output value="#case/muac" /&gt; mm, li te pran albendazol nan date ki te &lt;output value="#case/date_administration_albendazole_usn" /&gt; nan USN, &lt;output value="#case/date_dadministration_albendazole_pta" /&gt; nan PTA  epi&lt;output value="#case/date_administration_albendazole_pns" /&gt; nan PNS</t>
  </si>
  <si>
    <t>#form/nb_visite_pta &gt; 0</t>
  </si>
  <si>
    <t>/copy-1-of-nom_du_personel_medical</t>
  </si>
  <si>
    <t>/type_de_visite</t>
  </si>
  <si>
    <t>/type_de_visite-admission</t>
  </si>
  <si>
    <t>/type_de_visite-suivi</t>
  </si>
  <si>
    <t>/copy-1-of-Intervention</t>
  </si>
  <si>
    <t>/copy-1-of-Intervention-institutionnel</t>
  </si>
  <si>
    <t>/copy-1-of-Intervention-communautaire</t>
  </si>
  <si>
    <t>/pta</t>
  </si>
  <si>
    <t>/pta/origine</t>
  </si>
  <si>
    <t>#form/type_de_visite = 'admission'</t>
  </si>
  <si>
    <t>/pta/origine-nouveau_cas</t>
  </si>
  <si>
    <t>Nouveau Cas</t>
  </si>
  <si>
    <t>/pta/origine-ancien_cas</t>
  </si>
  <si>
    <t>Ancien cas</t>
  </si>
  <si>
    <t>/pta/origine-USN</t>
  </si>
  <si>
    <t>/pta/origine-RECH</t>
  </si>
  <si>
    <t>/pta/origine-RANR</t>
  </si>
  <si>
    <t>/pta/origine-RAA</t>
  </si>
  <si>
    <t>/pta/origine-Autres</t>
  </si>
  <si>
    <t>/pta/oedeme</t>
  </si>
  <si>
    <t>/pta/oedeme-1</t>
  </si>
  <si>
    <t>/pta/oedeme-2</t>
  </si>
  <si>
    <t>/pta/oedeme-3</t>
  </si>
  <si>
    <t>/pta/oedeme-4</t>
  </si>
  <si>
    <t>/pta/poids</t>
  </si>
  <si>
    <t>/pta/poids_adm_pta</t>
  </si>
  <si>
    <t>#form/pta/poids</t>
  </si>
  <si>
    <t>/pta/gain_poids_pta</t>
  </si>
  <si>
    <t>#form/pta/poids - #case/poids_adm_pta</t>
  </si>
  <si>
    <t>/pta/gain_poids_pta_derniere</t>
  </si>
  <si>
    <t>#form/pta/poids - #case/poids_pta</t>
  </si>
  <si>
    <t>/pta/gain_de_poids_par_rapport_au_poids_a_ladmission</t>
  </si>
  <si>
    <t>Gain de poids (par rapport au poids a l'admission) = &lt;output value="#form/pta/gain_poids_pta" /&gt; kg_x000D_
Gain de poids (par rapport au poids a la derniere visite) = &lt;output value="#form/pta/gain_poids_pta_derniere" /&gt;  kg</t>
  </si>
  <si>
    <t>/pta/taille</t>
  </si>
  <si>
    <t>/pta/pt</t>
  </si>
  <si>
    <t>/pta/pt-1</t>
  </si>
  <si>
    <t>/pta/pt-2</t>
  </si>
  <si>
    <t>/pta/pt-3</t>
  </si>
  <si>
    <t>/pta/pt-4</t>
  </si>
  <si>
    <t>/pta/pt-5</t>
  </si>
  <si>
    <t>/pta/pt-6</t>
  </si>
  <si>
    <t>/pta/pt-7</t>
  </si>
  <si>
    <t>/pta/pt-8</t>
  </si>
  <si>
    <t>/pta/pt-9</t>
  </si>
  <si>
    <t>/pta/pt-10</t>
  </si>
  <si>
    <t>/pta/pt-11</t>
  </si>
  <si>
    <t>/pta/pt-12</t>
  </si>
  <si>
    <t>/pta/pt-13</t>
  </si>
  <si>
    <t>/pta/pt-14</t>
  </si>
  <si>
    <t>/pta/pt-15</t>
  </si>
  <si>
    <t>/pta/muac</t>
  </si>
  <si>
    <t>/pta/indice_de_masse_corporelle_imc</t>
  </si>
  <si>
    <t>/pta/tr_hiv</t>
  </si>
  <si>
    <t>/pta/tr_hiv-Positif</t>
  </si>
  <si>
    <t>/pta/tr_hiv-Negatif</t>
  </si>
  <si>
    <t>/pta/tr_hiv-Non_realise</t>
  </si>
  <si>
    <t>/pta/supplements</t>
  </si>
  <si>
    <t>/pta/supplements-Plumpy-nut</t>
  </si>
  <si>
    <t>/pta/supplements-Nourimanba</t>
  </si>
  <si>
    <t>/pta/supplements-Plumpy-sup</t>
  </si>
  <si>
    <t>/pta/supplements-Nourrimil</t>
  </si>
  <si>
    <t>/pta/supplements-autres</t>
  </si>
  <si>
    <t>/pta/supplements-non_disponible</t>
  </si>
  <si>
    <t>/pta/preciser_autres</t>
  </si>
  <si>
    <t>#form/pta/supplements = 'autres'</t>
  </si>
  <si>
    <t>/pta/Quantite_de_supplements_recomendes</t>
  </si>
  <si>
    <t>#form/pta/supplements != "non_disponible"</t>
  </si>
  <si>
    <t>/pta/quantite_de_supplements_livrees</t>
  </si>
  <si>
    <t>/pta/administration_de_albendazole</t>
  </si>
  <si>
    <t>/pta/administration_de_albendazole-oui</t>
  </si>
  <si>
    <t>/pta/administration_de_albendazole-non</t>
  </si>
  <si>
    <t>/pta/date_dadministration_albendazole_pta</t>
  </si>
  <si>
    <t>#form/pta/administration_de_albendazole = 'oui'</t>
  </si>
  <si>
    <t>/pta/quantite_albendazole_en_mg</t>
  </si>
  <si>
    <t>/pta/administration_de_amoxycilline</t>
  </si>
  <si>
    <t>/pta/administration_de_amoxycilline-oui</t>
  </si>
  <si>
    <t>/pta/administration_de_amoxycilline-non</t>
  </si>
  <si>
    <t>/pta/temperature</t>
  </si>
  <si>
    <t>/pta/temperature-moins_de_35.5</t>
  </si>
  <si>
    <t>/pta/temperature-35.5-36.5</t>
  </si>
  <si>
    <t>/pta/temperature-36.5-37.5</t>
  </si>
  <si>
    <t>/pta/quantite_amoxyciline_en_mg</t>
  </si>
  <si>
    <t>#form/pta/administration_de_amoxycilline = 'oui'</t>
  </si>
  <si>
    <t>/pta/commorbidites</t>
  </si>
  <si>
    <t>/pta/autres_facteurs</t>
  </si>
  <si>
    <t>/pta/prochain_rendez-vous</t>
  </si>
  <si>
    <t>/pta/date_admission_pta</t>
  </si>
  <si>
    <t>/question1/date__date_visite_type_de_visite__type_de_visite_origine__origine_poids_en_</t>
  </si>
  <si>
    <t xml:space="preserve">Date :&lt;output value="format-date(date(#form/date_visite), '%a, %b %e, %Y')" /&gt; _x000D_
Type de visite :&lt;output value="#form/type_de_visite" /&gt; _x000D_
Origine :&lt;output value="#form/pta/origine" /&gt; _x000D_
Poids (en kg) :&lt;output value="#form/pta/poids" /&gt; _x000D_
Taille (en cm) :&lt;output value="#form/pta/taille" /&gt; _x000D_
MUAC :&lt;output value="#form/pta/muac" /&gt; _x000D_
TR (HIV) :&lt;output value="#form/pta/tr_hiv" /&gt; _x000D_
Suppléments :&lt;output value="#form/pta/supplements" /&gt; _x000D_
Quantité de suppléments recommendée :&lt;output value="#form/pta/Quantite_de_supplements_recomendes" /&gt; _x000D_
Quantité de suppléments livrée :&lt;output value="#form/pta/quantite_de_supplements_livrees" /&gt; _x000D_
Administration de Albendazole :&lt;output value="#form/pta/administration_de_albendazole" /&gt; _x000D_
Quantite (en mg):&lt;output value="#form/pta/quantite_albendazole_en_mg" /&gt; _x000D_
Administration de Amoxycilline :&lt;output value="#form/pta/administration_de_amoxycilline" /&gt; _x000D_
Quantite (en mg) :&lt;output value="#form/pta/quantite_amoxyciline_en_mg" /&gt; _x000D_
Commorbidités :&lt;output value="#form/pta/commorbidites" /&gt; _x000D_
Prochain rendez-vous :&lt;output value="format-date(date(#form/pta/prochain_rendez-vous), '%a, %b %e, %Y')" /&gt; </t>
  </si>
  <si>
    <t>/question1/eske_w_konfime_enfomasyon_sa_yo_korek</t>
  </si>
  <si>
    <t>/question1/eske_w_konfime_enfomasyon_sa_yo_korek-oui</t>
  </si>
  <si>
    <t>/nom_de_lenfant_prenom_de_lenfant_te_admet_nan_pta_nan_dat_date_admission_pt</t>
  </si>
  <si>
    <t>"&lt;output value="#case/nom_de_lenfant" /&gt;  &lt;output value="#case/prenom_de_lenfant" /&gt;" te admet nan PTA nan dat &lt;output value="#case/date_admission_pta" /&gt; . Li fe &lt;output value="#case/nb_visite_pta" /&gt; vizit nan program lan.</t>
  </si>
  <si>
    <t>/date_dadmission</t>
  </si>
  <si>
    <t>/date_de_sortie</t>
  </si>
  <si>
    <t>/sortie/poids</t>
  </si>
  <si>
    <t>/sortie/gain_poids_pta</t>
  </si>
  <si>
    <t>#form/sortie/poids - #case/poids_adm_pta</t>
  </si>
  <si>
    <t>Gain de poids (par rapport au poids a l'admission) = &lt;output value="#form/sortie/gain_poids_pta" /&gt; kg</t>
  </si>
  <si>
    <t>/sortie/taille_a_la_sortie</t>
  </si>
  <si>
    <t>/sortie/duree_de_sejour</t>
  </si>
  <si>
    <t>int(#form/date_de_sortie - #form/date_dadmission)</t>
  </si>
  <si>
    <t>/sortie/la_duree_de_sejour_de_nom_prenom_enfant_dans_le_programme_pta_est_de_duree_</t>
  </si>
  <si>
    <t>La durée de sejour de " &lt;output value="#case/nom_de_lenfant" /&gt;  &lt;output value="#case/prenom_de_lenfant" /&gt; " dans le programme est de &lt;output value="#form/sortie/duree_de_sejour" /&gt; jours.</t>
  </si>
  <si>
    <t>/sortie/administration_de_vitamineA</t>
  </si>
  <si>
    <t>/sortie/administration_de_vitamineA-oui</t>
  </si>
  <si>
    <t>/sortie/administration_de_vitamineA-non</t>
  </si>
  <si>
    <t>/sortie/quantite_en_mg</t>
  </si>
  <si>
    <t>#form/sortie/administration_de_vitamineA = 'oui'</t>
  </si>
  <si>
    <t>/sortie/exeat-Decede</t>
  </si>
  <si>
    <t>Décédé</t>
  </si>
  <si>
    <t>/sortie/exeat-Non_repondant</t>
  </si>
  <si>
    <t>/sortie/exeat-Transfert</t>
  </si>
  <si>
    <t>/sortie/close_case</t>
  </si>
  <si>
    <t>if(#form/sortie/exeat = "Decede", "Oui", "Non")</t>
  </si>
  <si>
    <t>/sortie/prise1</t>
  </si>
  <si>
    <t>if(#form/sortie/exeat = 'transfert_usn' or #form/sortie/exeat = 'transfert_pns' or #form/sortie/exeat = 'Transfert', 'Oui', 'Non')</t>
  </si>
  <si>
    <t>/sortie/Provenance</t>
  </si>
  <si>
    <t>if(#form/sortie/prise1 = 'Oui', 'PTA', 'Autres')</t>
  </si>
  <si>
    <t>/sortie/exeat_usn</t>
  </si>
  <si>
    <t>/sortie/nb_visite_pta</t>
  </si>
  <si>
    <t>/remarques</t>
  </si>
  <si>
    <t>/question1/date_dadmission__date_dadmission_date_dexeat__date_de_sortie_poids_en_kg__p</t>
  </si>
  <si>
    <t xml:space="preserve">Date  d'admission :&lt;output value="format-date(date(#form/date_dadmission), '%a, %b %e, %Y')" /&gt; _x000D_
Date d'exeat :&lt;output value="format-date(date(#form/date_de_sortie), '%a, %b %e, %Y')" /&gt; _x000D_
Poids (en kg) :&lt;output value="#form/sortie/poids" /&gt; _x000D_
Taille (en cm) :&lt;output value="#form/sortie/taille_a_la_sortie" /&gt; _x000D_
Administration de Vitamine A :&lt;output value="#form/sortie/administration_de_vitamineA" /&gt; _x000D_
Quantite (en ui) :&lt;output value="#form/sortie/quantite_en_mg" /&gt; _x000D_
Exéat :&lt;output value="#form/sortie/exeat" /&gt; </t>
  </si>
  <si>
    <t xml:space="preserve">Ou seleksyone " &lt;output value="#case/nom_de_lenfant" /&gt;  &lt;output value="#case/prenom_de_lenfant" /&gt; "  seks li se &lt;output value="#case/sexe" /&gt; , li gen &lt;output value="#form/age__mois" /&gt;  mwa. Li rete &lt;output value="#case/adresse" /&gt; e moun ki responsab li se &lt;output value="#case/nom_prenom_responsable" /&gt; . Li fe pati group &lt;output value="#case/prise1" /&gt; ._x000D_
Nan denye vizit li, li te peze &lt;output value="#case/poids_usn" /&gt; kg , P/T li se &lt;output value="#case/pt_usn" /&gt; e PB li te &lt;output value="#case/pb_usn" /&gt; mm, &lt;output value="#case/oedeme_usn" /&gt; </t>
  </si>
  <si>
    <t>/nb_visite_usn</t>
  </si>
  <si>
    <t>coalesce(#case/nb_visite_usn, 0) + 1</t>
  </si>
  <si>
    <t>"&lt;output value="#case/nom_de_lenfant" /&gt;   &lt;output value="#case/prenom_de_lenfant" /&gt; "  gentan fe &lt;output value="#case/nb_visite_usn" /&gt; vizit nan USN._x000D_
Nan denye vizit li, li te peze &lt;output value="#case/poids_usn" /&gt; kg, li mezire &lt;output value="#case/taille_usn" /&gt;  cm et P/T li te&lt;output value="#case/pt_usn" /&gt; , PB li te &lt;output value="#case/pb_usn" /&gt; mm, li te resevwa albendazole nan dat &lt;output value="#case/date_administration_albendazole_usn" /&gt; nan USN, &lt;output value="#case/date_dadministration_albendazole_pta" /&gt; nan PTA et &lt;output value="#case/date_administration_albendazole_pns" /&gt; nan PNS</t>
  </si>
  <si>
    <t>#form/nb_visite_usn &gt; 0</t>
  </si>
  <si>
    <t>/poids</t>
  </si>
  <si>
    <t>/date_admission_usn</t>
  </si>
  <si>
    <t>/poids_adm_usn</t>
  </si>
  <si>
    <t>#form/poids</t>
  </si>
  <si>
    <t>/gain_poids_usn</t>
  </si>
  <si>
    <t>#form/poids - #case/poids_adm_usn</t>
  </si>
  <si>
    <t>/gain_poids_usn_derniere</t>
  </si>
  <si>
    <t>#form/poids - #case/poids_usn</t>
  </si>
  <si>
    <t>/gain_de_poids_par_rapport_au_poids_a_ladmission</t>
  </si>
  <si>
    <t>Gain de poids (par rapport au poids a l'admission) = &lt;output value="#form/gain_poids_usn" /&gt; kg._x000D_
Gain de poids (par rapport au poids a la derniere visite) = &lt;output value="#form/gain_poids_usn_derniere" /&gt;  kg._x000D_
Dernier traitement recu: &lt;output value="#case/traitement" /&gt;</t>
  </si>
  <si>
    <t>/taille</t>
  </si>
  <si>
    <t>/pt</t>
  </si>
  <si>
    <t>/pt-1</t>
  </si>
  <si>
    <t>/pt-2</t>
  </si>
  <si>
    <t>/pt-3</t>
  </si>
  <si>
    <t>/pt-4</t>
  </si>
  <si>
    <t>/pt-5</t>
  </si>
  <si>
    <t>/pt-6</t>
  </si>
  <si>
    <t>/pt-7</t>
  </si>
  <si>
    <t>/pt-8</t>
  </si>
  <si>
    <t>/pt-9</t>
  </si>
  <si>
    <t>/pt-10</t>
  </si>
  <si>
    <t>/pt-11</t>
  </si>
  <si>
    <t>/pt-12</t>
  </si>
  <si>
    <t>/pt-13</t>
  </si>
  <si>
    <t>/pt-14</t>
  </si>
  <si>
    <t>/pt-15</t>
  </si>
  <si>
    <t>/pb</t>
  </si>
  <si>
    <t>/indice_de_masse_corporelle_imc</t>
  </si>
  <si>
    <t>/copy-1-of-oedeme</t>
  </si>
  <si>
    <t>/copy-1-of-oedeme-1</t>
  </si>
  <si>
    <t>/copy-1-of-oedeme-2</t>
  </si>
  <si>
    <t>/copy-1-of-oedeme-3</t>
  </si>
  <si>
    <t>/copy-1-of-oedeme-4</t>
  </si>
  <si>
    <t>/tr_hiv</t>
  </si>
  <si>
    <t>/tr_hiv-Positif</t>
  </si>
  <si>
    <t>/tr_hiv-Negatif</t>
  </si>
  <si>
    <t>/tr_hiv-Non_realise</t>
  </si>
  <si>
    <t>/origine</t>
  </si>
  <si>
    <t>/origine-PTA</t>
  </si>
  <si>
    <t>/origine-PSN</t>
  </si>
  <si>
    <t>/origine-USN</t>
  </si>
  <si>
    <t>/impression_clinique</t>
  </si>
  <si>
    <t>/traitement</t>
  </si>
  <si>
    <t>/traitement-F75</t>
  </si>
  <si>
    <t>F75</t>
  </si>
  <si>
    <t>/traitement-F100</t>
  </si>
  <si>
    <t>F100</t>
  </si>
  <si>
    <t>/traitement-f100_dilue</t>
  </si>
  <si>
    <t>F100 dilué</t>
  </si>
  <si>
    <t>/traitement-Plumpy-nut</t>
  </si>
  <si>
    <t>Plumpy-nut</t>
  </si>
  <si>
    <t>/traitement-Nourimanba</t>
  </si>
  <si>
    <t>Nourimanba</t>
  </si>
  <si>
    <t>/traitement-Resomal</t>
  </si>
  <si>
    <t>Resomal</t>
  </si>
  <si>
    <t>/Quantite_de_supplements_recomendes</t>
  </si>
  <si>
    <t>#form/traitement = 'Nourimanba'</t>
  </si>
  <si>
    <t>/quantite_de_supplements_livrees</t>
  </si>
  <si>
    <t>/medicaments_administre</t>
  </si>
  <si>
    <t>Checkbox</t>
  </si>
  <si>
    <t>/medicaments_administre-amoxicilline</t>
  </si>
  <si>
    <t>Amoxicilline</t>
  </si>
  <si>
    <t>/medicaments_administre-ampiciline_gentamycine</t>
  </si>
  <si>
    <t>Ampiciline/Gentamycine</t>
  </si>
  <si>
    <t>/medicaments_administre-choice1</t>
  </si>
  <si>
    <t>Vitamine A</t>
  </si>
  <si>
    <t>/medicaments_administre-acide_folique</t>
  </si>
  <si>
    <t>Acide Folique</t>
  </si>
  <si>
    <t>/medicaments_administre-resomal</t>
  </si>
  <si>
    <t>Résomal</t>
  </si>
  <si>
    <t>/medicaments_administre-fer</t>
  </si>
  <si>
    <t>Fer</t>
  </si>
  <si>
    <t>/medicaments_administre-zinc</t>
  </si>
  <si>
    <t>Zinc</t>
  </si>
  <si>
    <t>/medicaments_administre-albendazole</t>
  </si>
  <si>
    <t>Albendazole</t>
  </si>
  <si>
    <t>/medicaments_administre-aucun</t>
  </si>
  <si>
    <t>Aucun</t>
  </si>
  <si>
    <t>/medicaments_administre-autre</t>
  </si>
  <si>
    <t>Autre</t>
  </si>
  <si>
    <t>/mentionnez_le_nom_de_lautre_mdicament_que_le_patient_a_reu</t>
  </si>
  <si>
    <t>selected(#form/medicaments_administre, 'autre')</t>
  </si>
  <si>
    <t>/date_administration_albendazole_usn</t>
  </si>
  <si>
    <t>selected(#form/medicaments_administre, 'albendazole')</t>
  </si>
  <si>
    <t>/temperature</t>
  </si>
  <si>
    <t>/temperature-moins_de_35.5</t>
  </si>
  <si>
    <t>/temperature-35.5-36.5</t>
  </si>
  <si>
    <t>/temperature-36.5-37.5</t>
  </si>
  <si>
    <t>/question1/date__date_visite_type_de_visite__type_de_visite_poids_en_kg__poids_taille_</t>
  </si>
  <si>
    <t xml:space="preserve">Date :&lt;output value="format-date(date(#form/date_visite), '%a, %b %e, %Y')" /&gt; _x000D_
Type de visite :&lt;output value="#form/type_de_visite" /&gt; _x000D_
Poids (en kg) :&lt;output value="#form/poids" /&gt; _x000D_
Taille (en cm) :&lt;output value="#form/taille" /&gt; _x000D_
PB (en mm) :&lt;output value="#form/pb" /&gt; _x000D_
TR (HIV) :&lt;output value="#form/tr_hiv" /&gt; _x000D_
Origine :&lt;output value="#form/origine" /&gt; _x000D_
Impression clinique :&lt;output value="#form/impression_clinique" /&gt; _x000D_
Traitement :&lt;output value="#form/traitement" /&gt; _x000D_
Medicaments administre :&lt;output value="#form/medicaments_administre" /&gt; </t>
  </si>
  <si>
    <t>/nom_de_lenfant_prenom_de_lenfant_te_admet_nan_usn_nan_dat_date_admission_us</t>
  </si>
  <si>
    <t>"&lt;output value="#case/nom_de_lenfant" /&gt;  &lt;output value="#case/prenom_de_lenfant" /&gt;" te admet nan USN nan dat&lt;output value="#case/date_admission_usn" /&gt; . Li fe &lt;output value="#case/nb_visite_usn" /&gt; vizit nan program lan.</t>
  </si>
  <si>
    <t>/date_de_ladmission</t>
  </si>
  <si>
    <t>. &gt; #case/date_denregistrement</t>
  </si>
  <si>
    <t>/copy-1-of-sortie</t>
  </si>
  <si>
    <t>/copy-1-of-sortie/poids_en_kg</t>
  </si>
  <si>
    <t>/copy-1-of-sortie/gain_poids_usn</t>
  </si>
  <si>
    <t>#form/copy-1-of-sortie/poids_en_kg - #case/poids_adm_usn</t>
  </si>
  <si>
    <t>/copy-1-of-sortie/gain_de_poids_par_rapport_au_poids_a_ladmission</t>
  </si>
  <si>
    <t>Gain de poids (par rapport au poids a l'admission) = &lt;output value="#form/copy-1-of-sortie/gain_poids_usn" /&gt; kg</t>
  </si>
  <si>
    <t>/copy-1-of-sortie/duree_de_sejour</t>
  </si>
  <si>
    <t>int(#form/date_de_sortie - #form/date_de_ladmission)</t>
  </si>
  <si>
    <t>/copy-1-of-sortie/nom_et_prenom_de_lenfant_a_pris_gains_de_poids_kg_depuis_le_debut_du_progra</t>
  </si>
  <si>
    <t>"&lt;output value="#case/nom_de_lenfant" /&gt;   &lt;output value="#case/prenom_de_lenfant" /&gt; " a passé &lt;output value="#form/copy-1-of-sortie/duree_de_sejour" /&gt; jours dans le programme.</t>
  </si>
  <si>
    <t>/copy-1-of-sortie/taille_en_cm</t>
  </si>
  <si>
    <t>/copy-1-of-sortie/pt</t>
  </si>
  <si>
    <t>/copy-1-of-sortie/pt-1</t>
  </si>
  <si>
    <t>/copy-1-of-sortie/pt-2</t>
  </si>
  <si>
    <t>/copy-1-of-sortie/pt-3</t>
  </si>
  <si>
    <t>/copy-1-of-sortie/pt-4</t>
  </si>
  <si>
    <t>/copy-1-of-sortie/pt-5</t>
  </si>
  <si>
    <t>/copy-1-of-sortie/pt-6</t>
  </si>
  <si>
    <t>/copy-1-of-sortie/pt-7</t>
  </si>
  <si>
    <t>/copy-1-of-sortie/pt-8</t>
  </si>
  <si>
    <t>/copy-1-of-sortie/pt-9</t>
  </si>
  <si>
    <t>/copy-1-of-sortie/pt-10</t>
  </si>
  <si>
    <t>/copy-1-of-sortie/pt-11</t>
  </si>
  <si>
    <t>/copy-1-of-sortie/pt-12</t>
  </si>
  <si>
    <t>/copy-1-of-sortie/pt-13</t>
  </si>
  <si>
    <t>/copy-1-of-sortie/pt-14</t>
  </si>
  <si>
    <t>/copy-1-of-sortie/pt-15</t>
  </si>
  <si>
    <t>/copy-1-of-sortie/pb</t>
  </si>
  <si>
    <t>/copy-1-of-sortie/oedeme</t>
  </si>
  <si>
    <t>/copy-1-of-sortie/oedeme-1</t>
  </si>
  <si>
    <t>/copy-1-of-sortie/oedeme-2</t>
  </si>
  <si>
    <t>/copy-1-of-sortie/oedeme-3</t>
  </si>
  <si>
    <t>/copy-1-of-sortie/oedeme-4</t>
  </si>
  <si>
    <t>/copy-1-of-sortie/exeat</t>
  </si>
  <si>
    <t>/copy-1-of-sortie/exeat-Abandon</t>
  </si>
  <si>
    <t>/copy-1-of-sortie/exeat-Gueri</t>
  </si>
  <si>
    <t>/copy-1-of-sortie/exeat-Non_repondant</t>
  </si>
  <si>
    <t>/copy-1-of-sortie/exeat-Decede</t>
  </si>
  <si>
    <t>/copy-1-of-sortie/exeat-transfert_ailleurs</t>
  </si>
  <si>
    <t>/copy-1-of-sortie/close_case</t>
  </si>
  <si>
    <t>if(#form/copy-1-of-sortie/exeat = 'Decede', 'Oui', 'Non')</t>
  </si>
  <si>
    <t>/copy-1-of-sortie/prise1</t>
  </si>
  <si>
    <t>if(#form/copy-1-of-sortie/exeat = 'transfert_pta' or #form/copy-1-of-sortie/exeat = 'Transfert_pns', 'Oui', 'Non')</t>
  </si>
  <si>
    <t>/copy-1-of-sortie/Provenance</t>
  </si>
  <si>
    <t>if(#form/copy-1-of-sortie/prise1 = 'Oui', 'USN', 'Autres')</t>
  </si>
  <si>
    <t>/copy-1-of-sortie/nb_visite_usn</t>
  </si>
  <si>
    <t>/copy-1-of-sortie/diagnostique</t>
  </si>
  <si>
    <t>/remarque</t>
  </si>
  <si>
    <t>/question1/date_de_ladmission__date_de_ladmission_date_de_lexat__date_de_sortie_poids_</t>
  </si>
  <si>
    <t xml:space="preserve">Date de l'admission :&lt;output value="format-date(date(#form/date_de_ladmission), '%a, %b %e, %Y')" /&gt; _x000D_
Date de l'exéat :&lt;output value="format-date(date(#form/date_de_sortie), '%a, %b %e, %Y')" /&gt; _x000D_
Poids en kg :&lt;output value="#form/copy-1-of-sortie/poids_en_kg" /&gt; _x000D_
Taille en cm :&lt;output value="#form/copy-1-of-sortie/taille_en_cm" /&gt; _x000D_
PB (en mm) :&lt;output value="#form/copy-1-of-sortie/pb" /&gt; _x000D_
Exéat :&lt;output value="#form/copy-1-of-sortie/exeat" /&gt; _x000D_
Diagnostique :&lt;output value="#form/copy-1-of-sortie/diagnostique" /&gt;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</si>
</sst>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tabSelected="1" workbookViewId="0">
      <selection activeCell="B31" sqref="B31"/>
    </sheetView>
  </sheetViews>
  <sheetFormatPr defaultRowHeight="14.5" x14ac:dyDescent="0.35"/>
  <cols>
    <col min="1" max="1" width="32.26953125" customWidth="1"/>
  </cols>
  <sheetData>
    <row r="1" spans="1:1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5">
      <c r="A2" t="s">
        <v>109</v>
      </c>
      <c r="B2" t="s">
        <v>110</v>
      </c>
      <c r="C2" t="s">
        <v>5</v>
      </c>
      <c r="L2" t="s">
        <v>111</v>
      </c>
    </row>
    <row r="3" spans="1:15" x14ac:dyDescent="0.35">
      <c r="A3" t="s">
        <v>112</v>
      </c>
      <c r="B3" t="s">
        <v>9</v>
      </c>
      <c r="C3" t="s">
        <v>83</v>
      </c>
      <c r="I3" t="s">
        <v>22</v>
      </c>
      <c r="L3" t="s">
        <v>93</v>
      </c>
    </row>
    <row r="4" spans="1:15" x14ac:dyDescent="0.35">
      <c r="A4" t="s">
        <v>113</v>
      </c>
      <c r="B4" t="s">
        <v>114</v>
      </c>
      <c r="C4" t="s">
        <v>84</v>
      </c>
      <c r="L4" t="s">
        <v>93</v>
      </c>
    </row>
    <row r="5" spans="1:15" x14ac:dyDescent="0.35">
      <c r="A5" t="s">
        <v>115</v>
      </c>
      <c r="B5" t="s">
        <v>116</v>
      </c>
      <c r="C5" t="s">
        <v>117</v>
      </c>
    </row>
    <row r="6" spans="1:15" x14ac:dyDescent="0.35">
      <c r="A6" t="s">
        <v>118</v>
      </c>
      <c r="B6" t="s">
        <v>116</v>
      </c>
      <c r="C6" t="s">
        <v>119</v>
      </c>
    </row>
    <row r="7" spans="1:15" x14ac:dyDescent="0.35">
      <c r="A7" t="s">
        <v>120</v>
      </c>
      <c r="B7" t="s">
        <v>116</v>
      </c>
      <c r="C7" t="s">
        <v>121</v>
      </c>
    </row>
    <row r="8" spans="1:15" x14ac:dyDescent="0.35">
      <c r="A8" t="s">
        <v>122</v>
      </c>
      <c r="B8" t="s">
        <v>116</v>
      </c>
      <c r="C8" t="s">
        <v>123</v>
      </c>
    </row>
    <row r="9" spans="1:15" x14ac:dyDescent="0.35">
      <c r="A9" t="s">
        <v>124</v>
      </c>
      <c r="B9" t="s">
        <v>116</v>
      </c>
      <c r="C9" t="s">
        <v>125</v>
      </c>
    </row>
    <row r="10" spans="1:15" x14ac:dyDescent="0.35">
      <c r="A10" t="s">
        <v>126</v>
      </c>
      <c r="B10" t="s">
        <v>116</v>
      </c>
      <c r="C10" t="s">
        <v>127</v>
      </c>
    </row>
    <row r="11" spans="1:15" x14ac:dyDescent="0.35">
      <c r="A11" t="s">
        <v>128</v>
      </c>
      <c r="B11" t="s">
        <v>116</v>
      </c>
      <c r="C11" t="s">
        <v>129</v>
      </c>
    </row>
    <row r="12" spans="1:15" x14ac:dyDescent="0.35">
      <c r="A12" t="s">
        <v>130</v>
      </c>
      <c r="B12" t="s">
        <v>116</v>
      </c>
      <c r="C12" t="s">
        <v>131</v>
      </c>
    </row>
    <row r="13" spans="1:15" x14ac:dyDescent="0.35">
      <c r="A13" t="s">
        <v>132</v>
      </c>
      <c r="B13" t="s">
        <v>116</v>
      </c>
      <c r="C13" t="s">
        <v>133</v>
      </c>
    </row>
    <row r="14" spans="1:15" x14ac:dyDescent="0.35">
      <c r="A14" t="s">
        <v>134</v>
      </c>
      <c r="B14" t="s">
        <v>116</v>
      </c>
      <c r="C14" t="s">
        <v>135</v>
      </c>
    </row>
    <row r="15" spans="1:15" x14ac:dyDescent="0.35">
      <c r="A15" t="s">
        <v>136</v>
      </c>
      <c r="B15" t="s">
        <v>116</v>
      </c>
      <c r="C15" t="s">
        <v>137</v>
      </c>
    </row>
    <row r="16" spans="1:15" x14ac:dyDescent="0.35">
      <c r="A16" t="s">
        <v>138</v>
      </c>
      <c r="B16" t="s">
        <v>116</v>
      </c>
      <c r="C16" t="s">
        <v>139</v>
      </c>
    </row>
    <row r="17" spans="1:12" x14ac:dyDescent="0.35">
      <c r="A17" t="s">
        <v>140</v>
      </c>
      <c r="B17" t="s">
        <v>4</v>
      </c>
      <c r="C17" t="s">
        <v>3</v>
      </c>
      <c r="L17" t="s">
        <v>93</v>
      </c>
    </row>
    <row r="18" spans="1:12" x14ac:dyDescent="0.35">
      <c r="A18" t="s">
        <v>141</v>
      </c>
      <c r="B18" t="s">
        <v>4</v>
      </c>
      <c r="C18" t="s">
        <v>6</v>
      </c>
      <c r="L18" t="s">
        <v>111</v>
      </c>
    </row>
    <row r="19" spans="1:12" x14ac:dyDescent="0.35">
      <c r="A19" t="s">
        <v>142</v>
      </c>
      <c r="B19" t="s">
        <v>4</v>
      </c>
      <c r="C19" t="s">
        <v>85</v>
      </c>
      <c r="L19" t="s">
        <v>93</v>
      </c>
    </row>
    <row r="20" spans="1:12" x14ac:dyDescent="0.35">
      <c r="A20" t="s">
        <v>143</v>
      </c>
      <c r="B20" t="s">
        <v>4</v>
      </c>
      <c r="C20" t="s">
        <v>86</v>
      </c>
      <c r="L20" t="s">
        <v>111</v>
      </c>
    </row>
    <row r="21" spans="1:12" x14ac:dyDescent="0.35">
      <c r="A21" t="s">
        <v>144</v>
      </c>
      <c r="B21" t="s">
        <v>4</v>
      </c>
      <c r="C21" t="s">
        <v>7</v>
      </c>
      <c r="L21" t="s">
        <v>93</v>
      </c>
    </row>
    <row r="22" spans="1:12" x14ac:dyDescent="0.35">
      <c r="A22" t="s">
        <v>145</v>
      </c>
      <c r="B22" t="s">
        <v>146</v>
      </c>
      <c r="C22" t="s">
        <v>87</v>
      </c>
      <c r="L22" t="s">
        <v>111</v>
      </c>
    </row>
    <row r="23" spans="1:12" x14ac:dyDescent="0.35">
      <c r="A23" t="s">
        <v>147</v>
      </c>
      <c r="B23" t="s">
        <v>9</v>
      </c>
      <c r="C23" t="s">
        <v>8</v>
      </c>
      <c r="I23" t="s">
        <v>10</v>
      </c>
      <c r="L23" t="s">
        <v>93</v>
      </c>
    </row>
    <row r="24" spans="1:12" x14ac:dyDescent="0.35">
      <c r="A24" t="s">
        <v>148</v>
      </c>
      <c r="B24" t="s">
        <v>149</v>
      </c>
      <c r="K24" t="s">
        <v>150</v>
      </c>
      <c r="L24" t="s">
        <v>111</v>
      </c>
    </row>
    <row r="25" spans="1:12" x14ac:dyDescent="0.35">
      <c r="A25" t="s">
        <v>151</v>
      </c>
      <c r="B25" t="s">
        <v>114</v>
      </c>
      <c r="C25" t="s">
        <v>11</v>
      </c>
      <c r="L25" t="s">
        <v>93</v>
      </c>
    </row>
    <row r="26" spans="1:12" x14ac:dyDescent="0.35">
      <c r="A26" t="s">
        <v>152</v>
      </c>
      <c r="B26" t="s">
        <v>116</v>
      </c>
      <c r="C26" t="s">
        <v>153</v>
      </c>
    </row>
    <row r="27" spans="1:12" x14ac:dyDescent="0.35">
      <c r="A27" t="s">
        <v>154</v>
      </c>
      <c r="B27" t="s">
        <v>116</v>
      </c>
      <c r="C27" t="s">
        <v>155</v>
      </c>
    </row>
    <row r="28" spans="1:12" x14ac:dyDescent="0.35">
      <c r="A28" t="s">
        <v>156</v>
      </c>
      <c r="B28" t="s">
        <v>114</v>
      </c>
      <c r="C28" t="s">
        <v>88</v>
      </c>
      <c r="L28" t="s">
        <v>111</v>
      </c>
    </row>
    <row r="29" spans="1:12" x14ac:dyDescent="0.35">
      <c r="A29" t="s">
        <v>157</v>
      </c>
      <c r="B29" t="s">
        <v>116</v>
      </c>
      <c r="C29" t="s">
        <v>158</v>
      </c>
    </row>
    <row r="30" spans="1:12" x14ac:dyDescent="0.35">
      <c r="A30" t="s">
        <v>159</v>
      </c>
      <c r="B30" t="s">
        <v>116</v>
      </c>
      <c r="C30" t="s">
        <v>160</v>
      </c>
    </row>
    <row r="31" spans="1:12" x14ac:dyDescent="0.35">
      <c r="A31" t="s">
        <v>161</v>
      </c>
      <c r="B31" t="s">
        <v>116</v>
      </c>
      <c r="C31" t="s">
        <v>162</v>
      </c>
    </row>
    <row r="32" spans="1:12" x14ac:dyDescent="0.35">
      <c r="A32" t="s">
        <v>163</v>
      </c>
      <c r="B32" t="s">
        <v>114</v>
      </c>
      <c r="C32" t="s">
        <v>89</v>
      </c>
      <c r="H32" t="s">
        <v>164</v>
      </c>
      <c r="L32" t="s">
        <v>111</v>
      </c>
    </row>
    <row r="33" spans="1:12" x14ac:dyDescent="0.35">
      <c r="A33" t="s">
        <v>165</v>
      </c>
      <c r="B33" t="s">
        <v>116</v>
      </c>
      <c r="C33" t="s">
        <v>18</v>
      </c>
    </row>
    <row r="34" spans="1:12" x14ac:dyDescent="0.35">
      <c r="A34" t="s">
        <v>166</v>
      </c>
      <c r="B34" t="s">
        <v>116</v>
      </c>
      <c r="C34" t="s">
        <v>167</v>
      </c>
    </row>
    <row r="35" spans="1:12" x14ac:dyDescent="0.35">
      <c r="A35" t="s">
        <v>168</v>
      </c>
      <c r="B35" t="s">
        <v>114</v>
      </c>
      <c r="C35" t="s">
        <v>90</v>
      </c>
      <c r="L35" t="s">
        <v>111</v>
      </c>
    </row>
    <row r="36" spans="1:12" x14ac:dyDescent="0.35">
      <c r="A36" t="s">
        <v>169</v>
      </c>
      <c r="B36" t="s">
        <v>116</v>
      </c>
      <c r="C36" t="s">
        <v>18</v>
      </c>
    </row>
    <row r="37" spans="1:12" x14ac:dyDescent="0.35">
      <c r="A37" t="s">
        <v>170</v>
      </c>
      <c r="B37" t="s">
        <v>116</v>
      </c>
      <c r="C37" t="s">
        <v>167</v>
      </c>
    </row>
    <row r="38" spans="1:12" x14ac:dyDescent="0.35">
      <c r="A38" t="s">
        <v>171</v>
      </c>
      <c r="B38" t="s">
        <v>114</v>
      </c>
      <c r="C38" t="s">
        <v>12</v>
      </c>
      <c r="L38" t="s">
        <v>93</v>
      </c>
    </row>
    <row r="39" spans="1:12" x14ac:dyDescent="0.35">
      <c r="A39" t="s">
        <v>172</v>
      </c>
      <c r="B39" t="s">
        <v>116</v>
      </c>
      <c r="C39" t="s">
        <v>173</v>
      </c>
    </row>
    <row r="40" spans="1:12" x14ac:dyDescent="0.35">
      <c r="A40" t="s">
        <v>174</v>
      </c>
      <c r="B40" t="s">
        <v>116</v>
      </c>
      <c r="C40" t="s">
        <v>175</v>
      </c>
    </row>
    <row r="41" spans="1:12" x14ac:dyDescent="0.35">
      <c r="A41" t="s">
        <v>176</v>
      </c>
      <c r="B41" t="s">
        <v>116</v>
      </c>
      <c r="C41" t="s">
        <v>177</v>
      </c>
    </row>
    <row r="42" spans="1:12" x14ac:dyDescent="0.35">
      <c r="A42" t="s">
        <v>178</v>
      </c>
      <c r="B42" t="s">
        <v>116</v>
      </c>
      <c r="C42" t="s">
        <v>179</v>
      </c>
    </row>
    <row r="43" spans="1:12" x14ac:dyDescent="0.35">
      <c r="A43" t="s">
        <v>180</v>
      </c>
      <c r="B43" t="s">
        <v>116</v>
      </c>
      <c r="C43" t="s">
        <v>181</v>
      </c>
    </row>
    <row r="44" spans="1:12" x14ac:dyDescent="0.35">
      <c r="A44" t="s">
        <v>182</v>
      </c>
      <c r="B44" t="s">
        <v>116</v>
      </c>
      <c r="C44" t="s">
        <v>183</v>
      </c>
    </row>
    <row r="45" spans="1:12" x14ac:dyDescent="0.35">
      <c r="A45" t="s">
        <v>184</v>
      </c>
      <c r="B45" t="s">
        <v>116</v>
      </c>
      <c r="C45" t="s">
        <v>185</v>
      </c>
    </row>
    <row r="46" spans="1:12" x14ac:dyDescent="0.35">
      <c r="A46" t="s">
        <v>186</v>
      </c>
      <c r="B46" t="s">
        <v>116</v>
      </c>
      <c r="C46" t="s">
        <v>187</v>
      </c>
    </row>
    <row r="47" spans="1:12" x14ac:dyDescent="0.35">
      <c r="A47" t="s">
        <v>188</v>
      </c>
      <c r="B47" t="s">
        <v>116</v>
      </c>
      <c r="C47" t="s">
        <v>189</v>
      </c>
    </row>
    <row r="48" spans="1:12" x14ac:dyDescent="0.35">
      <c r="A48" t="s">
        <v>190</v>
      </c>
      <c r="B48" t="s">
        <v>116</v>
      </c>
      <c r="C48" t="s">
        <v>191</v>
      </c>
    </row>
    <row r="49" spans="1:12" x14ac:dyDescent="0.35">
      <c r="A49" t="s">
        <v>192</v>
      </c>
      <c r="B49" t="s">
        <v>193</v>
      </c>
      <c r="C49" t="s">
        <v>13</v>
      </c>
      <c r="L49" t="s">
        <v>93</v>
      </c>
    </row>
    <row r="50" spans="1:12" x14ac:dyDescent="0.35">
      <c r="B50" t="s">
        <v>194</v>
      </c>
    </row>
    <row r="51" spans="1:12" x14ac:dyDescent="0.35">
      <c r="A51" t="s">
        <v>195</v>
      </c>
      <c r="B51" t="s">
        <v>193</v>
      </c>
      <c r="C51" t="s">
        <v>14</v>
      </c>
      <c r="L51" t="s">
        <v>93</v>
      </c>
    </row>
    <row r="52" spans="1:12" x14ac:dyDescent="0.35">
      <c r="B52" t="s">
        <v>194</v>
      </c>
    </row>
    <row r="53" spans="1:12" x14ac:dyDescent="0.35">
      <c r="A53" t="s">
        <v>196</v>
      </c>
      <c r="B53" t="s">
        <v>4</v>
      </c>
      <c r="C53" t="s">
        <v>15</v>
      </c>
      <c r="L53" t="s">
        <v>93</v>
      </c>
    </row>
    <row r="54" spans="1:12" x14ac:dyDescent="0.35">
      <c r="A54" t="s">
        <v>197</v>
      </c>
      <c r="B54" t="s">
        <v>114</v>
      </c>
      <c r="C54" t="s">
        <v>23</v>
      </c>
      <c r="L54" t="s">
        <v>93</v>
      </c>
    </row>
    <row r="55" spans="1:12" x14ac:dyDescent="0.35">
      <c r="A55" t="s">
        <v>198</v>
      </c>
      <c r="B55" t="s">
        <v>116</v>
      </c>
      <c r="C55" t="s">
        <v>18</v>
      </c>
    </row>
    <row r="56" spans="1:12" x14ac:dyDescent="0.35">
      <c r="A56" t="s">
        <v>199</v>
      </c>
      <c r="B56" t="s">
        <v>116</v>
      </c>
      <c r="C56" t="s">
        <v>167</v>
      </c>
    </row>
    <row r="57" spans="1:12" x14ac:dyDescent="0.35">
      <c r="A57" t="s">
        <v>200</v>
      </c>
      <c r="B57" t="s">
        <v>149</v>
      </c>
      <c r="K57" t="s">
        <v>201</v>
      </c>
      <c r="L57" t="s">
        <v>111</v>
      </c>
    </row>
    <row r="58" spans="1:12" x14ac:dyDescent="0.35">
      <c r="A58" t="s">
        <v>202</v>
      </c>
      <c r="B58" t="s">
        <v>114</v>
      </c>
      <c r="C58" t="s">
        <v>19</v>
      </c>
      <c r="H58" t="s">
        <v>203</v>
      </c>
      <c r="L58" t="s">
        <v>93</v>
      </c>
    </row>
    <row r="59" spans="1:12" x14ac:dyDescent="0.35">
      <c r="A59" t="s">
        <v>204</v>
      </c>
      <c r="B59" t="s">
        <v>116</v>
      </c>
      <c r="C59" t="s">
        <v>205</v>
      </c>
    </row>
    <row r="60" spans="1:12" x14ac:dyDescent="0.35">
      <c r="A60" t="s">
        <v>206</v>
      </c>
      <c r="B60" t="s">
        <v>116</v>
      </c>
      <c r="C60" t="s">
        <v>51</v>
      </c>
    </row>
    <row r="61" spans="1:12" x14ac:dyDescent="0.35">
      <c r="A61" t="s">
        <v>207</v>
      </c>
      <c r="B61" t="s">
        <v>116</v>
      </c>
      <c r="C61" t="s">
        <v>208</v>
      </c>
    </row>
    <row r="62" spans="1:12" x14ac:dyDescent="0.35">
      <c r="A62" t="s">
        <v>209</v>
      </c>
      <c r="B62" t="s">
        <v>149</v>
      </c>
      <c r="K62" t="s">
        <v>210</v>
      </c>
      <c r="L62" t="s">
        <v>111</v>
      </c>
    </row>
    <row r="63" spans="1:12" x14ac:dyDescent="0.35">
      <c r="A63" t="s">
        <v>211</v>
      </c>
      <c r="B63" t="s">
        <v>114</v>
      </c>
      <c r="C63" t="s">
        <v>20</v>
      </c>
      <c r="H63" t="s">
        <v>212</v>
      </c>
      <c r="L63" t="s">
        <v>93</v>
      </c>
    </row>
    <row r="64" spans="1:12" x14ac:dyDescent="0.35">
      <c r="A64" t="s">
        <v>213</v>
      </c>
      <c r="B64" t="s">
        <v>116</v>
      </c>
      <c r="C64" t="s">
        <v>214</v>
      </c>
    </row>
    <row r="65" spans="1:12" x14ac:dyDescent="0.35">
      <c r="A65" t="s">
        <v>215</v>
      </c>
      <c r="B65" t="s">
        <v>116</v>
      </c>
      <c r="C65" t="s">
        <v>216</v>
      </c>
    </row>
    <row r="66" spans="1:12" x14ac:dyDescent="0.35">
      <c r="A66" t="s">
        <v>217</v>
      </c>
      <c r="B66" t="s">
        <v>110</v>
      </c>
      <c r="C66" t="s">
        <v>16</v>
      </c>
      <c r="L66" t="s">
        <v>111</v>
      </c>
    </row>
    <row r="67" spans="1:12" x14ac:dyDescent="0.35">
      <c r="A67" t="s">
        <v>218</v>
      </c>
      <c r="B67" t="s">
        <v>219</v>
      </c>
      <c r="C67" s="1" t="s">
        <v>220</v>
      </c>
      <c r="L67" t="s">
        <v>111</v>
      </c>
    </row>
    <row r="68" spans="1:12" x14ac:dyDescent="0.35">
      <c r="A68" t="s">
        <v>221</v>
      </c>
      <c r="B68" t="s">
        <v>114</v>
      </c>
      <c r="C68" t="s">
        <v>91</v>
      </c>
      <c r="L68" t="s">
        <v>93</v>
      </c>
    </row>
    <row r="69" spans="1:12" x14ac:dyDescent="0.35">
      <c r="A69" t="s">
        <v>222</v>
      </c>
      <c r="B69" t="s">
        <v>116</v>
      </c>
      <c r="C69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4"/>
  <sheetViews>
    <sheetView workbookViewId="0">
      <selection activeCell="E15" sqref="E15"/>
    </sheetView>
  </sheetViews>
  <sheetFormatPr defaultRowHeight="14.5" x14ac:dyDescent="0.35"/>
  <sheetData>
    <row r="1" spans="1:1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5">
      <c r="A2" t="s">
        <v>223</v>
      </c>
      <c r="B2" t="s">
        <v>149</v>
      </c>
      <c r="K2" t="s">
        <v>224</v>
      </c>
      <c r="L2" t="s">
        <v>111</v>
      </c>
    </row>
    <row r="3" spans="1:15" x14ac:dyDescent="0.35">
      <c r="A3" t="s">
        <v>225</v>
      </c>
      <c r="B3" t="s">
        <v>219</v>
      </c>
      <c r="C3" s="1" t="s">
        <v>226</v>
      </c>
      <c r="L3" t="s">
        <v>111</v>
      </c>
    </row>
    <row r="4" spans="1:15" x14ac:dyDescent="0.35">
      <c r="A4" t="s">
        <v>227</v>
      </c>
      <c r="B4" t="s">
        <v>149</v>
      </c>
      <c r="K4" t="s">
        <v>228</v>
      </c>
      <c r="L4" t="s">
        <v>111</v>
      </c>
    </row>
    <row r="5" spans="1:15" x14ac:dyDescent="0.35">
      <c r="A5" t="s">
        <v>229</v>
      </c>
      <c r="B5" t="s">
        <v>219</v>
      </c>
      <c r="C5" s="1" t="s">
        <v>230</v>
      </c>
      <c r="H5" t="s">
        <v>231</v>
      </c>
      <c r="L5" t="s">
        <v>111</v>
      </c>
    </row>
    <row r="6" spans="1:15" x14ac:dyDescent="0.35">
      <c r="A6" t="s">
        <v>232</v>
      </c>
      <c r="B6" t="s">
        <v>4</v>
      </c>
      <c r="C6" t="s">
        <v>3</v>
      </c>
      <c r="L6" t="s">
        <v>93</v>
      </c>
    </row>
    <row r="7" spans="1:15" x14ac:dyDescent="0.35">
      <c r="A7" t="s">
        <v>233</v>
      </c>
      <c r="B7" t="s">
        <v>114</v>
      </c>
      <c r="C7" t="s">
        <v>24</v>
      </c>
      <c r="L7" t="s">
        <v>93</v>
      </c>
    </row>
    <row r="8" spans="1:15" x14ac:dyDescent="0.35">
      <c r="A8" t="s">
        <v>234</v>
      </c>
      <c r="B8" t="s">
        <v>116</v>
      </c>
      <c r="C8" t="s">
        <v>23</v>
      </c>
    </row>
    <row r="9" spans="1:15" x14ac:dyDescent="0.35">
      <c r="A9" t="s">
        <v>235</v>
      </c>
      <c r="B9" t="s">
        <v>116</v>
      </c>
      <c r="C9" t="s">
        <v>2</v>
      </c>
    </row>
    <row r="10" spans="1:15" x14ac:dyDescent="0.35">
      <c r="A10" t="s">
        <v>236</v>
      </c>
      <c r="B10" t="s">
        <v>114</v>
      </c>
      <c r="C10" t="s">
        <v>25</v>
      </c>
      <c r="L10" t="s">
        <v>93</v>
      </c>
    </row>
    <row r="11" spans="1:15" x14ac:dyDescent="0.35">
      <c r="A11" t="s">
        <v>237</v>
      </c>
      <c r="B11" t="s">
        <v>116</v>
      </c>
      <c r="C11" t="s">
        <v>216</v>
      </c>
    </row>
    <row r="12" spans="1:15" x14ac:dyDescent="0.35">
      <c r="A12" t="s">
        <v>238</v>
      </c>
      <c r="B12" t="s">
        <v>116</v>
      </c>
      <c r="C12" t="s">
        <v>214</v>
      </c>
    </row>
    <row r="13" spans="1:15" x14ac:dyDescent="0.35">
      <c r="A13" t="s">
        <v>239</v>
      </c>
      <c r="B13" t="s">
        <v>9</v>
      </c>
      <c r="C13" t="s">
        <v>9</v>
      </c>
      <c r="I13" t="s">
        <v>22</v>
      </c>
      <c r="L13" t="s">
        <v>93</v>
      </c>
    </row>
    <row r="14" spans="1:15" x14ac:dyDescent="0.35">
      <c r="A14" t="s">
        <v>240</v>
      </c>
      <c r="B14" t="s">
        <v>149</v>
      </c>
      <c r="H14" t="s">
        <v>241</v>
      </c>
      <c r="K14" t="s">
        <v>242</v>
      </c>
      <c r="L14" t="s">
        <v>111</v>
      </c>
    </row>
    <row r="15" spans="1:15" x14ac:dyDescent="0.35">
      <c r="A15" t="s">
        <v>243</v>
      </c>
      <c r="B15" t="s">
        <v>110</v>
      </c>
      <c r="C15" t="s">
        <v>26</v>
      </c>
      <c r="L15" t="s">
        <v>111</v>
      </c>
    </row>
    <row r="16" spans="1:15" x14ac:dyDescent="0.35">
      <c r="A16" t="s">
        <v>244</v>
      </c>
      <c r="B16" t="s">
        <v>245</v>
      </c>
      <c r="C16" t="s">
        <v>27</v>
      </c>
      <c r="I16" t="s">
        <v>28</v>
      </c>
      <c r="L16" t="s">
        <v>93</v>
      </c>
    </row>
    <row r="17" spans="1:12" x14ac:dyDescent="0.35">
      <c r="A17" t="s">
        <v>246</v>
      </c>
      <c r="B17" t="s">
        <v>149</v>
      </c>
      <c r="H17" t="s">
        <v>241</v>
      </c>
      <c r="K17" t="s">
        <v>247</v>
      </c>
      <c r="L17" t="s">
        <v>111</v>
      </c>
    </row>
    <row r="18" spans="1:12" x14ac:dyDescent="0.35">
      <c r="A18" t="s">
        <v>248</v>
      </c>
      <c r="B18" t="s">
        <v>149</v>
      </c>
      <c r="K18" t="s">
        <v>249</v>
      </c>
      <c r="L18" t="s">
        <v>111</v>
      </c>
    </row>
    <row r="19" spans="1:12" x14ac:dyDescent="0.35">
      <c r="A19" t="s">
        <v>250</v>
      </c>
      <c r="B19" t="s">
        <v>149</v>
      </c>
      <c r="K19" t="s">
        <v>251</v>
      </c>
      <c r="L19" t="s">
        <v>111</v>
      </c>
    </row>
    <row r="20" spans="1:12" x14ac:dyDescent="0.35">
      <c r="A20" t="s">
        <v>252</v>
      </c>
      <c r="B20" t="s">
        <v>219</v>
      </c>
      <c r="C20" s="1" t="s">
        <v>253</v>
      </c>
      <c r="L20" t="s">
        <v>111</v>
      </c>
    </row>
    <row r="21" spans="1:12" x14ac:dyDescent="0.35">
      <c r="A21" t="s">
        <v>254</v>
      </c>
      <c r="B21" t="s">
        <v>245</v>
      </c>
      <c r="C21" t="s">
        <v>29</v>
      </c>
      <c r="I21" t="s">
        <v>30</v>
      </c>
      <c r="L21" t="s">
        <v>93</v>
      </c>
    </row>
    <row r="22" spans="1:12" x14ac:dyDescent="0.35">
      <c r="A22" t="s">
        <v>255</v>
      </c>
      <c r="B22" t="s">
        <v>114</v>
      </c>
      <c r="C22" t="s">
        <v>31</v>
      </c>
      <c r="H22" t="s">
        <v>256</v>
      </c>
      <c r="L22" t="s">
        <v>93</v>
      </c>
    </row>
    <row r="23" spans="1:12" x14ac:dyDescent="0.35">
      <c r="A23" t="s">
        <v>257</v>
      </c>
      <c r="B23" t="s">
        <v>116</v>
      </c>
      <c r="C23" t="s">
        <v>258</v>
      </c>
    </row>
    <row r="24" spans="1:12" x14ac:dyDescent="0.35">
      <c r="A24" t="s">
        <v>259</v>
      </c>
      <c r="B24" t="s">
        <v>116</v>
      </c>
      <c r="C24" t="s">
        <v>260</v>
      </c>
    </row>
    <row r="25" spans="1:12" x14ac:dyDescent="0.35">
      <c r="A25" t="s">
        <v>261</v>
      </c>
      <c r="B25" t="s">
        <v>116</v>
      </c>
      <c r="C25" t="e" cm="1">
        <f t="array" ref="C25" xml:space="preserve"> Médiane</f>
        <v>#NAME?</v>
      </c>
    </row>
    <row r="26" spans="1:12" x14ac:dyDescent="0.35">
      <c r="A26" t="s">
        <v>262</v>
      </c>
      <c r="B26" t="s">
        <v>116</v>
      </c>
      <c r="C26" t="s">
        <v>263</v>
      </c>
    </row>
    <row r="27" spans="1:12" x14ac:dyDescent="0.35">
      <c r="A27" t="s">
        <v>264</v>
      </c>
      <c r="B27" t="s">
        <v>116</v>
      </c>
      <c r="C27" t="s">
        <v>265</v>
      </c>
    </row>
    <row r="28" spans="1:12" x14ac:dyDescent="0.35">
      <c r="A28" t="s">
        <v>266</v>
      </c>
      <c r="B28" t="s">
        <v>116</v>
      </c>
      <c r="C28" t="s">
        <v>267</v>
      </c>
    </row>
    <row r="29" spans="1:12" x14ac:dyDescent="0.35">
      <c r="A29" t="s">
        <v>268</v>
      </c>
      <c r="B29" t="s">
        <v>116</v>
      </c>
      <c r="C29" t="s">
        <v>269</v>
      </c>
    </row>
    <row r="30" spans="1:12" x14ac:dyDescent="0.35">
      <c r="A30" t="s">
        <v>270</v>
      </c>
      <c r="B30" t="s">
        <v>116</v>
      </c>
      <c r="C30" t="s">
        <v>271</v>
      </c>
    </row>
    <row r="31" spans="1:12" x14ac:dyDescent="0.35">
      <c r="A31" t="s">
        <v>272</v>
      </c>
      <c r="B31" t="s">
        <v>116</v>
      </c>
      <c r="C31" t="s">
        <v>273</v>
      </c>
    </row>
    <row r="32" spans="1:12" x14ac:dyDescent="0.35">
      <c r="A32" t="s">
        <v>274</v>
      </c>
      <c r="B32" t="s">
        <v>116</v>
      </c>
      <c r="C32" t="s">
        <v>275</v>
      </c>
    </row>
    <row r="33" spans="1:12" x14ac:dyDescent="0.35">
      <c r="A33" t="s">
        <v>276</v>
      </c>
      <c r="B33" t="s">
        <v>116</v>
      </c>
      <c r="C33" t="s">
        <v>277</v>
      </c>
    </row>
    <row r="34" spans="1:12" x14ac:dyDescent="0.35">
      <c r="A34" t="s">
        <v>278</v>
      </c>
      <c r="B34" t="s">
        <v>116</v>
      </c>
      <c r="C34" t="s">
        <v>279</v>
      </c>
    </row>
    <row r="35" spans="1:12" x14ac:dyDescent="0.35">
      <c r="A35" t="s">
        <v>280</v>
      </c>
      <c r="B35" t="s">
        <v>116</v>
      </c>
      <c r="C35" t="s">
        <v>281</v>
      </c>
    </row>
    <row r="36" spans="1:12" x14ac:dyDescent="0.35">
      <c r="A36" t="s">
        <v>282</v>
      </c>
      <c r="B36" t="s">
        <v>116</v>
      </c>
      <c r="C36" t="s">
        <v>283</v>
      </c>
    </row>
    <row r="37" spans="1:12" x14ac:dyDescent="0.35">
      <c r="A37" t="s">
        <v>284</v>
      </c>
      <c r="B37" t="s">
        <v>116</v>
      </c>
      <c r="C37" t="s">
        <v>285</v>
      </c>
    </row>
    <row r="38" spans="1:12" x14ac:dyDescent="0.35">
      <c r="A38" t="s">
        <v>286</v>
      </c>
      <c r="B38" t="s">
        <v>114</v>
      </c>
      <c r="C38" t="s">
        <v>32</v>
      </c>
      <c r="L38" t="s">
        <v>93</v>
      </c>
    </row>
    <row r="39" spans="1:12" x14ac:dyDescent="0.35">
      <c r="A39" t="s">
        <v>287</v>
      </c>
      <c r="B39" t="s">
        <v>116</v>
      </c>
      <c r="C39" t="s">
        <v>288</v>
      </c>
    </row>
    <row r="40" spans="1:12" x14ac:dyDescent="0.35">
      <c r="A40" t="s">
        <v>289</v>
      </c>
      <c r="B40" t="s">
        <v>116</v>
      </c>
      <c r="C40" t="s">
        <v>290</v>
      </c>
    </row>
    <row r="41" spans="1:12" x14ac:dyDescent="0.35">
      <c r="A41" t="s">
        <v>291</v>
      </c>
      <c r="B41" t="s">
        <v>116</v>
      </c>
      <c r="C41" t="s">
        <v>292</v>
      </c>
    </row>
    <row r="42" spans="1:12" x14ac:dyDescent="0.35">
      <c r="A42" t="s">
        <v>293</v>
      </c>
      <c r="B42" t="s">
        <v>116</v>
      </c>
      <c r="C42" t="s">
        <v>294</v>
      </c>
    </row>
    <row r="43" spans="1:12" x14ac:dyDescent="0.35">
      <c r="A43" t="s">
        <v>295</v>
      </c>
      <c r="B43" t="s">
        <v>245</v>
      </c>
      <c r="C43" t="s">
        <v>33</v>
      </c>
      <c r="H43" t="s">
        <v>296</v>
      </c>
      <c r="I43" t="s">
        <v>34</v>
      </c>
      <c r="L43" t="s">
        <v>93</v>
      </c>
    </row>
    <row r="44" spans="1:12" x14ac:dyDescent="0.35">
      <c r="A44" t="s">
        <v>297</v>
      </c>
      <c r="B44" t="s">
        <v>245</v>
      </c>
      <c r="C44" t="s">
        <v>35</v>
      </c>
      <c r="H44" t="s">
        <v>298</v>
      </c>
      <c r="L44" t="s">
        <v>93</v>
      </c>
    </row>
    <row r="45" spans="1:12" x14ac:dyDescent="0.35">
      <c r="A45" t="s">
        <v>299</v>
      </c>
      <c r="B45" t="s">
        <v>114</v>
      </c>
      <c r="C45" t="s">
        <v>36</v>
      </c>
      <c r="H45" t="s">
        <v>241</v>
      </c>
      <c r="L45" t="s">
        <v>93</v>
      </c>
    </row>
    <row r="46" spans="1:12" x14ac:dyDescent="0.35">
      <c r="A46" t="s">
        <v>300</v>
      </c>
      <c r="B46" t="s">
        <v>116</v>
      </c>
      <c r="C46" t="s">
        <v>301</v>
      </c>
    </row>
    <row r="47" spans="1:12" x14ac:dyDescent="0.35">
      <c r="A47" t="s">
        <v>302</v>
      </c>
      <c r="B47" t="s">
        <v>116</v>
      </c>
      <c r="C47" t="s">
        <v>303</v>
      </c>
    </row>
    <row r="48" spans="1:12" x14ac:dyDescent="0.35">
      <c r="A48" t="s">
        <v>304</v>
      </c>
      <c r="B48" t="s">
        <v>116</v>
      </c>
      <c r="C48" t="s">
        <v>305</v>
      </c>
    </row>
    <row r="49" spans="1:12" x14ac:dyDescent="0.35">
      <c r="A49" t="s">
        <v>306</v>
      </c>
      <c r="B49" t="s">
        <v>116</v>
      </c>
      <c r="C49" t="s">
        <v>307</v>
      </c>
    </row>
    <row r="50" spans="1:12" x14ac:dyDescent="0.35">
      <c r="A50" t="s">
        <v>308</v>
      </c>
      <c r="B50" t="s">
        <v>116</v>
      </c>
      <c r="C50" t="s">
        <v>309</v>
      </c>
    </row>
    <row r="51" spans="1:12" x14ac:dyDescent="0.35">
      <c r="A51" t="s">
        <v>310</v>
      </c>
      <c r="B51" t="s">
        <v>116</v>
      </c>
      <c r="C51" t="s">
        <v>311</v>
      </c>
    </row>
    <row r="52" spans="1:12" x14ac:dyDescent="0.35">
      <c r="A52" t="s">
        <v>312</v>
      </c>
      <c r="B52" t="s">
        <v>116</v>
      </c>
      <c r="C52" t="s">
        <v>313</v>
      </c>
    </row>
    <row r="53" spans="1:12" x14ac:dyDescent="0.35">
      <c r="A53" t="s">
        <v>314</v>
      </c>
      <c r="B53" t="s">
        <v>116</v>
      </c>
      <c r="C53" t="s">
        <v>315</v>
      </c>
    </row>
    <row r="54" spans="1:12" x14ac:dyDescent="0.35">
      <c r="A54" t="s">
        <v>316</v>
      </c>
      <c r="B54" t="s">
        <v>4</v>
      </c>
      <c r="C54" t="s">
        <v>37</v>
      </c>
      <c r="H54" t="s">
        <v>317</v>
      </c>
      <c r="L54" t="s">
        <v>93</v>
      </c>
    </row>
    <row r="55" spans="1:12" x14ac:dyDescent="0.35">
      <c r="A55" t="s">
        <v>318</v>
      </c>
      <c r="B55" t="s">
        <v>114</v>
      </c>
      <c r="C55" t="s">
        <v>38</v>
      </c>
      <c r="L55" t="s">
        <v>93</v>
      </c>
    </row>
    <row r="56" spans="1:12" x14ac:dyDescent="0.35">
      <c r="A56" t="s">
        <v>319</v>
      </c>
      <c r="B56" t="s">
        <v>116</v>
      </c>
      <c r="C56" t="s">
        <v>320</v>
      </c>
    </row>
    <row r="57" spans="1:12" x14ac:dyDescent="0.35">
      <c r="A57" t="s">
        <v>321</v>
      </c>
      <c r="B57" t="s">
        <v>116</v>
      </c>
      <c r="C57" t="s">
        <v>322</v>
      </c>
    </row>
    <row r="58" spans="1:12" x14ac:dyDescent="0.35">
      <c r="A58" t="s">
        <v>323</v>
      </c>
      <c r="B58" t="s">
        <v>116</v>
      </c>
      <c r="C58" t="s">
        <v>324</v>
      </c>
    </row>
    <row r="59" spans="1:12" x14ac:dyDescent="0.35">
      <c r="A59" t="s">
        <v>325</v>
      </c>
      <c r="B59" t="s">
        <v>116</v>
      </c>
      <c r="C59" t="s">
        <v>326</v>
      </c>
    </row>
    <row r="60" spans="1:12" x14ac:dyDescent="0.35">
      <c r="A60" t="s">
        <v>327</v>
      </c>
      <c r="B60" t="s">
        <v>116</v>
      </c>
      <c r="C60" t="s">
        <v>315</v>
      </c>
    </row>
    <row r="61" spans="1:12" x14ac:dyDescent="0.35">
      <c r="A61" t="s">
        <v>328</v>
      </c>
      <c r="B61" t="s">
        <v>116</v>
      </c>
      <c r="C61" t="s">
        <v>329</v>
      </c>
    </row>
    <row r="62" spans="1:12" x14ac:dyDescent="0.35">
      <c r="A62" t="s">
        <v>330</v>
      </c>
      <c r="B62" t="s">
        <v>4</v>
      </c>
      <c r="C62" t="s">
        <v>39</v>
      </c>
      <c r="H62" t="s">
        <v>331</v>
      </c>
      <c r="L62" t="s">
        <v>93</v>
      </c>
    </row>
    <row r="63" spans="1:12" x14ac:dyDescent="0.35">
      <c r="A63" t="s">
        <v>332</v>
      </c>
      <c r="B63" t="s">
        <v>245</v>
      </c>
      <c r="C63" t="s">
        <v>40</v>
      </c>
      <c r="H63" t="s">
        <v>333</v>
      </c>
      <c r="I63" t="s">
        <v>41</v>
      </c>
      <c r="L63" t="s">
        <v>93</v>
      </c>
    </row>
    <row r="64" spans="1:12" x14ac:dyDescent="0.35">
      <c r="A64" t="s">
        <v>334</v>
      </c>
      <c r="B64" t="s">
        <v>335</v>
      </c>
      <c r="C64" t="s">
        <v>42</v>
      </c>
      <c r="H64" t="s">
        <v>333</v>
      </c>
      <c r="I64" t="s">
        <v>41</v>
      </c>
      <c r="L64" t="s">
        <v>93</v>
      </c>
    </row>
    <row r="65" spans="1:12" x14ac:dyDescent="0.35">
      <c r="A65" t="s">
        <v>336</v>
      </c>
      <c r="B65" t="s">
        <v>114</v>
      </c>
      <c r="C65" t="s">
        <v>43</v>
      </c>
      <c r="L65" t="s">
        <v>93</v>
      </c>
    </row>
    <row r="66" spans="1:12" x14ac:dyDescent="0.35">
      <c r="A66" t="s">
        <v>337</v>
      </c>
      <c r="B66" t="s">
        <v>116</v>
      </c>
      <c r="C66" t="s">
        <v>338</v>
      </c>
    </row>
    <row r="67" spans="1:12" x14ac:dyDescent="0.35">
      <c r="A67" t="s">
        <v>339</v>
      </c>
      <c r="B67" t="s">
        <v>116</v>
      </c>
      <c r="C67" t="s">
        <v>340</v>
      </c>
    </row>
    <row r="68" spans="1:12" x14ac:dyDescent="0.35">
      <c r="A68" t="s">
        <v>341</v>
      </c>
      <c r="B68" t="s">
        <v>116</v>
      </c>
      <c r="C68" t="s">
        <v>342</v>
      </c>
    </row>
    <row r="69" spans="1:12" x14ac:dyDescent="0.35">
      <c r="A69" t="s">
        <v>343</v>
      </c>
      <c r="B69" t="s">
        <v>114</v>
      </c>
      <c r="C69" t="s">
        <v>44</v>
      </c>
      <c r="L69" t="s">
        <v>93</v>
      </c>
    </row>
    <row r="70" spans="1:12" x14ac:dyDescent="0.35">
      <c r="A70" t="s">
        <v>344</v>
      </c>
      <c r="B70" t="s">
        <v>116</v>
      </c>
      <c r="C70" t="s">
        <v>18</v>
      </c>
    </row>
    <row r="71" spans="1:12" x14ac:dyDescent="0.35">
      <c r="A71" t="s">
        <v>345</v>
      </c>
      <c r="B71" t="s">
        <v>116</v>
      </c>
      <c r="C71" t="s">
        <v>167</v>
      </c>
    </row>
    <row r="72" spans="1:12" x14ac:dyDescent="0.35">
      <c r="A72" t="s">
        <v>346</v>
      </c>
      <c r="B72" t="s">
        <v>114</v>
      </c>
      <c r="C72" t="s">
        <v>45</v>
      </c>
      <c r="L72" t="s">
        <v>111</v>
      </c>
    </row>
    <row r="73" spans="1:12" x14ac:dyDescent="0.35">
      <c r="A73" t="s">
        <v>347</v>
      </c>
      <c r="B73" t="s">
        <v>116</v>
      </c>
      <c r="C73" t="s">
        <v>348</v>
      </c>
    </row>
    <row r="74" spans="1:12" x14ac:dyDescent="0.35">
      <c r="A74" t="s">
        <v>349</v>
      </c>
      <c r="B74" t="s">
        <v>116</v>
      </c>
      <c r="C74" t="s">
        <v>350</v>
      </c>
    </row>
    <row r="75" spans="1:12" x14ac:dyDescent="0.35">
      <c r="A75" t="s">
        <v>351</v>
      </c>
      <c r="B75" t="s">
        <v>116</v>
      </c>
      <c r="C75" t="s">
        <v>352</v>
      </c>
    </row>
    <row r="76" spans="1:12" x14ac:dyDescent="0.35">
      <c r="A76" t="s">
        <v>353</v>
      </c>
      <c r="B76" t="s">
        <v>9</v>
      </c>
      <c r="C76" t="s">
        <v>46</v>
      </c>
      <c r="H76" t="s">
        <v>354</v>
      </c>
      <c r="L76" t="s">
        <v>93</v>
      </c>
    </row>
    <row r="77" spans="1:12" x14ac:dyDescent="0.35">
      <c r="A77" t="s">
        <v>355</v>
      </c>
      <c r="B77" t="s">
        <v>335</v>
      </c>
      <c r="C77" t="s">
        <v>47</v>
      </c>
      <c r="H77" t="s">
        <v>354</v>
      </c>
      <c r="L77" t="s">
        <v>93</v>
      </c>
    </row>
    <row r="78" spans="1:12" x14ac:dyDescent="0.35">
      <c r="A78" t="s">
        <v>356</v>
      </c>
      <c r="B78" t="s">
        <v>4</v>
      </c>
      <c r="C78" t="s">
        <v>48</v>
      </c>
      <c r="L78" t="s">
        <v>111</v>
      </c>
    </row>
    <row r="79" spans="1:12" x14ac:dyDescent="0.35">
      <c r="A79" t="s">
        <v>357</v>
      </c>
      <c r="B79" t="s">
        <v>4</v>
      </c>
      <c r="C79" t="s">
        <v>49</v>
      </c>
      <c r="L79" t="s">
        <v>111</v>
      </c>
    </row>
    <row r="80" spans="1:12" x14ac:dyDescent="0.35">
      <c r="A80" t="s">
        <v>358</v>
      </c>
      <c r="B80" t="s">
        <v>9</v>
      </c>
      <c r="C80" t="s">
        <v>50</v>
      </c>
      <c r="L80" t="s">
        <v>93</v>
      </c>
    </row>
    <row r="81" spans="1:12" x14ac:dyDescent="0.35">
      <c r="A81" t="s">
        <v>359</v>
      </c>
      <c r="B81" t="s">
        <v>110</v>
      </c>
      <c r="C81" t="s">
        <v>16</v>
      </c>
      <c r="L81" t="s">
        <v>111</v>
      </c>
    </row>
    <row r="82" spans="1:12" x14ac:dyDescent="0.35">
      <c r="A82" t="s">
        <v>360</v>
      </c>
      <c r="B82" t="s">
        <v>219</v>
      </c>
      <c r="C82" s="1" t="s">
        <v>361</v>
      </c>
      <c r="L82" t="s">
        <v>111</v>
      </c>
    </row>
    <row r="83" spans="1:12" x14ac:dyDescent="0.35">
      <c r="A83" t="s">
        <v>362</v>
      </c>
      <c r="B83" t="s">
        <v>114</v>
      </c>
      <c r="C83" t="s">
        <v>17</v>
      </c>
      <c r="L83" t="s">
        <v>93</v>
      </c>
    </row>
    <row r="84" spans="1:12" x14ac:dyDescent="0.35">
      <c r="A84" t="s">
        <v>363</v>
      </c>
      <c r="B84" t="s">
        <v>116</v>
      </c>
      <c r="C8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"/>
  <sheetViews>
    <sheetView workbookViewId="0">
      <selection activeCell="D15" sqref="D15"/>
    </sheetView>
  </sheetViews>
  <sheetFormatPr defaultRowHeight="14.5" x14ac:dyDescent="0.35"/>
  <sheetData>
    <row r="1" spans="1:1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5">
      <c r="A2" t="s">
        <v>364</v>
      </c>
      <c r="B2" t="s">
        <v>110</v>
      </c>
      <c r="C2" t="s">
        <v>0</v>
      </c>
      <c r="L2" t="s">
        <v>111</v>
      </c>
    </row>
    <row r="3" spans="1:15" x14ac:dyDescent="0.35">
      <c r="A3" t="s">
        <v>365</v>
      </c>
      <c r="B3" t="s">
        <v>219</v>
      </c>
      <c r="C3" t="s">
        <v>366</v>
      </c>
      <c r="L3" t="s">
        <v>111</v>
      </c>
    </row>
    <row r="4" spans="1:15" x14ac:dyDescent="0.35">
      <c r="A4" t="s">
        <v>367</v>
      </c>
      <c r="B4" t="s">
        <v>9</v>
      </c>
      <c r="C4" t="s">
        <v>60</v>
      </c>
      <c r="I4" t="s">
        <v>61</v>
      </c>
      <c r="L4" t="s">
        <v>93</v>
      </c>
    </row>
    <row r="5" spans="1:15" x14ac:dyDescent="0.35">
      <c r="A5" t="s">
        <v>368</v>
      </c>
      <c r="B5" t="s">
        <v>9</v>
      </c>
      <c r="C5" t="s">
        <v>62</v>
      </c>
      <c r="I5" t="s">
        <v>369</v>
      </c>
      <c r="L5" t="s">
        <v>93</v>
      </c>
    </row>
    <row r="6" spans="1:15" x14ac:dyDescent="0.35">
      <c r="A6" t="s">
        <v>370</v>
      </c>
      <c r="B6" t="s">
        <v>110</v>
      </c>
      <c r="C6" t="s">
        <v>63</v>
      </c>
      <c r="L6" t="s">
        <v>111</v>
      </c>
    </row>
    <row r="7" spans="1:15" x14ac:dyDescent="0.35">
      <c r="A7" t="s">
        <v>371</v>
      </c>
      <c r="B7" t="s">
        <v>149</v>
      </c>
      <c r="K7" t="s">
        <v>372</v>
      </c>
      <c r="L7" t="s">
        <v>111</v>
      </c>
    </row>
    <row r="8" spans="1:15" x14ac:dyDescent="0.35">
      <c r="A8" t="s">
        <v>373</v>
      </c>
      <c r="B8" t="s">
        <v>219</v>
      </c>
      <c r="C8" t="s">
        <v>374</v>
      </c>
      <c r="L8" t="s">
        <v>111</v>
      </c>
    </row>
    <row r="9" spans="1:15" x14ac:dyDescent="0.35">
      <c r="A9" t="s">
        <v>375</v>
      </c>
      <c r="B9" t="s">
        <v>245</v>
      </c>
      <c r="C9" t="s">
        <v>27</v>
      </c>
      <c r="I9" t="s">
        <v>28</v>
      </c>
      <c r="L9" t="s">
        <v>93</v>
      </c>
    </row>
    <row r="10" spans="1:15" x14ac:dyDescent="0.35">
      <c r="A10" t="s">
        <v>376</v>
      </c>
      <c r="B10" t="s">
        <v>149</v>
      </c>
      <c r="K10" t="s">
        <v>377</v>
      </c>
      <c r="L10" t="s">
        <v>111</v>
      </c>
    </row>
    <row r="11" spans="1:15" x14ac:dyDescent="0.35">
      <c r="A11" t="s">
        <v>378</v>
      </c>
      <c r="B11" t="s">
        <v>219</v>
      </c>
      <c r="C11" t="s">
        <v>379</v>
      </c>
      <c r="L11" t="s">
        <v>111</v>
      </c>
    </row>
    <row r="12" spans="1:15" x14ac:dyDescent="0.35">
      <c r="A12" t="s">
        <v>380</v>
      </c>
      <c r="B12" t="s">
        <v>114</v>
      </c>
      <c r="C12" t="s">
        <v>64</v>
      </c>
      <c r="L12" t="s">
        <v>93</v>
      </c>
    </row>
    <row r="13" spans="1:15" x14ac:dyDescent="0.35">
      <c r="A13" t="s">
        <v>381</v>
      </c>
      <c r="B13" t="s">
        <v>116</v>
      </c>
      <c r="C13" t="s">
        <v>382</v>
      </c>
    </row>
    <row r="14" spans="1:15" x14ac:dyDescent="0.35">
      <c r="A14" t="s">
        <v>383</v>
      </c>
      <c r="B14" t="s">
        <v>116</v>
      </c>
      <c r="C14" t="s">
        <v>384</v>
      </c>
    </row>
    <row r="15" spans="1:15" x14ac:dyDescent="0.35">
      <c r="A15" t="s">
        <v>385</v>
      </c>
      <c r="B15" t="s">
        <v>116</v>
      </c>
      <c r="C15" t="s">
        <v>386</v>
      </c>
    </row>
    <row r="16" spans="1:15" x14ac:dyDescent="0.35">
      <c r="A16" t="s">
        <v>387</v>
      </c>
      <c r="B16" t="s">
        <v>116</v>
      </c>
      <c r="C16" t="s">
        <v>388</v>
      </c>
    </row>
    <row r="17" spans="1:12" x14ac:dyDescent="0.35">
      <c r="A17" t="s">
        <v>389</v>
      </c>
      <c r="B17" t="s">
        <v>116</v>
      </c>
      <c r="C17" t="s">
        <v>390</v>
      </c>
    </row>
    <row r="18" spans="1:12" x14ac:dyDescent="0.35">
      <c r="A18" t="s">
        <v>391</v>
      </c>
      <c r="B18" t="s">
        <v>116</v>
      </c>
      <c r="C18" t="s">
        <v>392</v>
      </c>
    </row>
    <row r="19" spans="1:12" x14ac:dyDescent="0.35">
      <c r="A19" t="s">
        <v>393</v>
      </c>
      <c r="B19" t="s">
        <v>116</v>
      </c>
      <c r="C19" t="s">
        <v>394</v>
      </c>
    </row>
    <row r="20" spans="1:12" x14ac:dyDescent="0.35">
      <c r="A20" t="s">
        <v>395</v>
      </c>
      <c r="B20" t="s">
        <v>4</v>
      </c>
      <c r="C20" t="s">
        <v>65</v>
      </c>
      <c r="L20" t="s">
        <v>111</v>
      </c>
    </row>
    <row r="21" spans="1:12" x14ac:dyDescent="0.35">
      <c r="A21" t="s">
        <v>396</v>
      </c>
      <c r="B21" t="s">
        <v>114</v>
      </c>
      <c r="C21" t="s">
        <v>25</v>
      </c>
      <c r="L21" t="s">
        <v>93</v>
      </c>
    </row>
    <row r="22" spans="1:12" x14ac:dyDescent="0.35">
      <c r="A22" t="s">
        <v>397</v>
      </c>
      <c r="B22" t="s">
        <v>116</v>
      </c>
      <c r="C22" t="s">
        <v>216</v>
      </c>
    </row>
    <row r="23" spans="1:12" x14ac:dyDescent="0.35">
      <c r="A23" t="s">
        <v>398</v>
      </c>
      <c r="B23" t="s">
        <v>116</v>
      </c>
      <c r="C23" t="s">
        <v>214</v>
      </c>
    </row>
    <row r="24" spans="1:12" x14ac:dyDescent="0.35">
      <c r="A24" t="s">
        <v>399</v>
      </c>
      <c r="B24" t="s">
        <v>4</v>
      </c>
      <c r="C24" t="s">
        <v>3</v>
      </c>
      <c r="L24" t="s">
        <v>93</v>
      </c>
    </row>
    <row r="25" spans="1:12" x14ac:dyDescent="0.35">
      <c r="A25" t="s">
        <v>359</v>
      </c>
      <c r="B25" t="s">
        <v>110</v>
      </c>
      <c r="C25" t="s">
        <v>16</v>
      </c>
      <c r="L25" t="s">
        <v>111</v>
      </c>
    </row>
    <row r="26" spans="1:12" x14ac:dyDescent="0.35">
      <c r="A26" t="s">
        <v>400</v>
      </c>
      <c r="B26" t="s">
        <v>219</v>
      </c>
      <c r="C26" s="1" t="s">
        <v>401</v>
      </c>
      <c r="L26" t="s">
        <v>111</v>
      </c>
    </row>
    <row r="27" spans="1:12" x14ac:dyDescent="0.35">
      <c r="A27" t="s">
        <v>402</v>
      </c>
      <c r="B27" t="s">
        <v>114</v>
      </c>
      <c r="C27" t="s">
        <v>66</v>
      </c>
      <c r="L27" t="s">
        <v>93</v>
      </c>
    </row>
    <row r="28" spans="1:12" x14ac:dyDescent="0.35">
      <c r="A28" t="s">
        <v>403</v>
      </c>
      <c r="B28" t="s">
        <v>116</v>
      </c>
      <c r="C28" t="s">
        <v>21</v>
      </c>
    </row>
    <row r="29" spans="1:12" x14ac:dyDescent="0.35">
      <c r="A29" t="s">
        <v>404</v>
      </c>
      <c r="B29" t="s">
        <v>149</v>
      </c>
      <c r="K29" t="s">
        <v>405</v>
      </c>
      <c r="L29" t="s">
        <v>111</v>
      </c>
    </row>
    <row r="30" spans="1:12" x14ac:dyDescent="0.35">
      <c r="A30" t="s">
        <v>406</v>
      </c>
      <c r="B30" t="s">
        <v>149</v>
      </c>
      <c r="K30" t="s">
        <v>407</v>
      </c>
      <c r="L30" t="s">
        <v>111</v>
      </c>
    </row>
    <row r="31" spans="1:12" x14ac:dyDescent="0.35">
      <c r="A31" t="s">
        <v>408</v>
      </c>
      <c r="B31" t="s">
        <v>149</v>
      </c>
      <c r="K31" t="s">
        <v>409</v>
      </c>
      <c r="L31" t="s">
        <v>111</v>
      </c>
    </row>
    <row r="32" spans="1:12" x14ac:dyDescent="0.35">
      <c r="A32" t="s">
        <v>410</v>
      </c>
      <c r="B32" t="s">
        <v>149</v>
      </c>
      <c r="K32" t="s">
        <v>67</v>
      </c>
      <c r="L32" t="s">
        <v>111</v>
      </c>
    </row>
    <row r="33" spans="1:12" x14ac:dyDescent="0.35">
      <c r="A33" t="s">
        <v>227</v>
      </c>
      <c r="B33" t="s">
        <v>149</v>
      </c>
      <c r="K33">
        <v>0</v>
      </c>
      <c r="L33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6"/>
  <sheetViews>
    <sheetView workbookViewId="0">
      <selection activeCell="F18" sqref="F18"/>
    </sheetView>
  </sheetViews>
  <sheetFormatPr defaultRowHeight="14.5" x14ac:dyDescent="0.35"/>
  <sheetData>
    <row r="1" spans="1:1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5">
      <c r="A2" t="s">
        <v>223</v>
      </c>
      <c r="B2" t="s">
        <v>149</v>
      </c>
      <c r="K2" t="s">
        <v>224</v>
      </c>
      <c r="L2" t="s">
        <v>111</v>
      </c>
    </row>
    <row r="3" spans="1:15" x14ac:dyDescent="0.35">
      <c r="A3" t="s">
        <v>225</v>
      </c>
      <c r="B3" t="s">
        <v>219</v>
      </c>
      <c r="C3" s="1" t="s">
        <v>411</v>
      </c>
      <c r="L3" t="s">
        <v>111</v>
      </c>
    </row>
    <row r="4" spans="1:15" x14ac:dyDescent="0.35">
      <c r="A4" t="s">
        <v>412</v>
      </c>
      <c r="B4" t="s">
        <v>149</v>
      </c>
      <c r="K4" t="s">
        <v>413</v>
      </c>
      <c r="L4" t="s">
        <v>111</v>
      </c>
    </row>
    <row r="5" spans="1:15" x14ac:dyDescent="0.35">
      <c r="A5" t="s">
        <v>229</v>
      </c>
      <c r="B5" t="s">
        <v>219</v>
      </c>
      <c r="C5" s="1" t="s">
        <v>414</v>
      </c>
      <c r="H5" t="s">
        <v>415</v>
      </c>
      <c r="L5" t="s">
        <v>111</v>
      </c>
    </row>
    <row r="6" spans="1:15" x14ac:dyDescent="0.35">
      <c r="A6" t="s">
        <v>416</v>
      </c>
      <c r="B6" t="s">
        <v>4</v>
      </c>
      <c r="C6" t="s">
        <v>3</v>
      </c>
      <c r="L6" t="s">
        <v>93</v>
      </c>
    </row>
    <row r="7" spans="1:15" x14ac:dyDescent="0.35">
      <c r="A7" t="s">
        <v>239</v>
      </c>
      <c r="B7" t="s">
        <v>9</v>
      </c>
      <c r="C7" t="s">
        <v>9</v>
      </c>
      <c r="I7" t="s">
        <v>22</v>
      </c>
      <c r="L7" t="s">
        <v>93</v>
      </c>
    </row>
    <row r="8" spans="1:15" x14ac:dyDescent="0.35">
      <c r="A8" t="s">
        <v>417</v>
      </c>
      <c r="B8" t="s">
        <v>114</v>
      </c>
      <c r="C8" t="s">
        <v>24</v>
      </c>
      <c r="L8" t="s">
        <v>93</v>
      </c>
    </row>
    <row r="9" spans="1:15" x14ac:dyDescent="0.35">
      <c r="A9" t="s">
        <v>418</v>
      </c>
      <c r="B9" t="s">
        <v>116</v>
      </c>
      <c r="C9" t="s">
        <v>23</v>
      </c>
    </row>
    <row r="10" spans="1:15" x14ac:dyDescent="0.35">
      <c r="A10" t="s">
        <v>419</v>
      </c>
      <c r="B10" t="s">
        <v>116</v>
      </c>
      <c r="C10" t="s">
        <v>2</v>
      </c>
    </row>
    <row r="11" spans="1:15" x14ac:dyDescent="0.35">
      <c r="A11" t="s">
        <v>420</v>
      </c>
      <c r="B11" t="s">
        <v>114</v>
      </c>
      <c r="C11" t="s">
        <v>25</v>
      </c>
      <c r="L11" t="s">
        <v>93</v>
      </c>
    </row>
    <row r="12" spans="1:15" x14ac:dyDescent="0.35">
      <c r="A12" t="s">
        <v>421</v>
      </c>
      <c r="B12" t="s">
        <v>116</v>
      </c>
      <c r="C12" t="s">
        <v>216</v>
      </c>
    </row>
    <row r="13" spans="1:15" x14ac:dyDescent="0.35">
      <c r="A13" t="s">
        <v>422</v>
      </c>
      <c r="B13" t="s">
        <v>116</v>
      </c>
      <c r="C13" t="s">
        <v>214</v>
      </c>
    </row>
    <row r="14" spans="1:15" x14ac:dyDescent="0.35">
      <c r="A14" t="s">
        <v>423</v>
      </c>
      <c r="B14" t="s">
        <v>110</v>
      </c>
      <c r="C14" t="s">
        <v>51</v>
      </c>
      <c r="L14" t="s">
        <v>111</v>
      </c>
    </row>
    <row r="15" spans="1:15" x14ac:dyDescent="0.35">
      <c r="A15" t="s">
        <v>424</v>
      </c>
      <c r="B15" t="s">
        <v>114</v>
      </c>
      <c r="C15" t="s">
        <v>36</v>
      </c>
      <c r="H15" t="s">
        <v>425</v>
      </c>
      <c r="L15" t="s">
        <v>93</v>
      </c>
    </row>
    <row r="16" spans="1:15" x14ac:dyDescent="0.35">
      <c r="A16" t="s">
        <v>426</v>
      </c>
      <c r="B16" t="s">
        <v>116</v>
      </c>
      <c r="C16" t="s">
        <v>427</v>
      </c>
    </row>
    <row r="17" spans="1:12" x14ac:dyDescent="0.35">
      <c r="A17" t="s">
        <v>428</v>
      </c>
      <c r="B17" t="s">
        <v>116</v>
      </c>
      <c r="C17" t="s">
        <v>429</v>
      </c>
    </row>
    <row r="18" spans="1:12" x14ac:dyDescent="0.35">
      <c r="A18" t="s">
        <v>430</v>
      </c>
      <c r="B18" t="s">
        <v>116</v>
      </c>
      <c r="C18" t="s">
        <v>305</v>
      </c>
    </row>
    <row r="19" spans="1:12" x14ac:dyDescent="0.35">
      <c r="A19" t="s">
        <v>431</v>
      </c>
      <c r="B19" t="s">
        <v>116</v>
      </c>
      <c r="C19" t="s">
        <v>307</v>
      </c>
    </row>
    <row r="20" spans="1:12" x14ac:dyDescent="0.35">
      <c r="A20" t="s">
        <v>432</v>
      </c>
      <c r="B20" t="s">
        <v>116</v>
      </c>
      <c r="C20" t="s">
        <v>309</v>
      </c>
    </row>
    <row r="21" spans="1:12" x14ac:dyDescent="0.35">
      <c r="A21" t="s">
        <v>433</v>
      </c>
      <c r="B21" t="s">
        <v>116</v>
      </c>
      <c r="C21" t="s">
        <v>313</v>
      </c>
    </row>
    <row r="22" spans="1:12" x14ac:dyDescent="0.35">
      <c r="A22" t="s">
        <v>434</v>
      </c>
      <c r="B22" t="s">
        <v>116</v>
      </c>
      <c r="C22" t="s">
        <v>315</v>
      </c>
    </row>
    <row r="23" spans="1:12" x14ac:dyDescent="0.35">
      <c r="A23" t="s">
        <v>435</v>
      </c>
      <c r="B23" t="s">
        <v>114</v>
      </c>
      <c r="C23" t="s">
        <v>32</v>
      </c>
      <c r="L23" t="s">
        <v>93</v>
      </c>
    </row>
    <row r="24" spans="1:12" x14ac:dyDescent="0.35">
      <c r="A24" t="s">
        <v>436</v>
      </c>
      <c r="B24" t="s">
        <v>116</v>
      </c>
      <c r="C24" t="s">
        <v>288</v>
      </c>
    </row>
    <row r="25" spans="1:12" x14ac:dyDescent="0.35">
      <c r="A25" t="s">
        <v>437</v>
      </c>
      <c r="B25" t="s">
        <v>116</v>
      </c>
      <c r="C25" t="s">
        <v>290</v>
      </c>
    </row>
    <row r="26" spans="1:12" x14ac:dyDescent="0.35">
      <c r="A26" t="s">
        <v>438</v>
      </c>
      <c r="B26" t="s">
        <v>116</v>
      </c>
      <c r="C26" t="s">
        <v>292</v>
      </c>
    </row>
    <row r="27" spans="1:12" x14ac:dyDescent="0.35">
      <c r="A27" t="s">
        <v>439</v>
      </c>
      <c r="B27" t="s">
        <v>116</v>
      </c>
      <c r="C27" t="s">
        <v>294</v>
      </c>
    </row>
    <row r="28" spans="1:12" x14ac:dyDescent="0.35">
      <c r="A28" t="s">
        <v>440</v>
      </c>
      <c r="B28" t="s">
        <v>245</v>
      </c>
      <c r="C28" t="s">
        <v>52</v>
      </c>
      <c r="I28" t="s">
        <v>28</v>
      </c>
      <c r="L28" t="s">
        <v>93</v>
      </c>
    </row>
    <row r="29" spans="1:12" x14ac:dyDescent="0.35">
      <c r="A29" t="s">
        <v>441</v>
      </c>
      <c r="B29" t="s">
        <v>149</v>
      </c>
      <c r="H29" t="s">
        <v>425</v>
      </c>
      <c r="K29" t="s">
        <v>442</v>
      </c>
      <c r="L29" t="s">
        <v>111</v>
      </c>
    </row>
    <row r="30" spans="1:12" x14ac:dyDescent="0.35">
      <c r="A30" t="s">
        <v>443</v>
      </c>
      <c r="B30" t="s">
        <v>149</v>
      </c>
      <c r="K30" t="s">
        <v>444</v>
      </c>
      <c r="L30" t="s">
        <v>111</v>
      </c>
    </row>
    <row r="31" spans="1:12" x14ac:dyDescent="0.35">
      <c r="A31" t="s">
        <v>445</v>
      </c>
      <c r="B31" t="s">
        <v>149</v>
      </c>
      <c r="K31" t="s">
        <v>446</v>
      </c>
      <c r="L31" t="s">
        <v>111</v>
      </c>
    </row>
    <row r="32" spans="1:12" x14ac:dyDescent="0.35">
      <c r="A32" t="s">
        <v>447</v>
      </c>
      <c r="B32" t="s">
        <v>219</v>
      </c>
      <c r="C32" s="1" t="s">
        <v>448</v>
      </c>
      <c r="L32" t="s">
        <v>111</v>
      </c>
    </row>
    <row r="33" spans="1:12" x14ac:dyDescent="0.35">
      <c r="A33" t="s">
        <v>449</v>
      </c>
      <c r="B33" t="s">
        <v>245</v>
      </c>
      <c r="C33" t="s">
        <v>29</v>
      </c>
      <c r="I33" t="s">
        <v>30</v>
      </c>
      <c r="L33" t="s">
        <v>111</v>
      </c>
    </row>
    <row r="34" spans="1:12" x14ac:dyDescent="0.35">
      <c r="A34" t="s">
        <v>450</v>
      </c>
      <c r="B34" t="s">
        <v>114</v>
      </c>
      <c r="C34" t="s">
        <v>31</v>
      </c>
      <c r="H34" t="s">
        <v>256</v>
      </c>
      <c r="L34" t="s">
        <v>93</v>
      </c>
    </row>
    <row r="35" spans="1:12" x14ac:dyDescent="0.35">
      <c r="A35" t="s">
        <v>451</v>
      </c>
      <c r="B35" t="s">
        <v>116</v>
      </c>
      <c r="C35" t="s">
        <v>258</v>
      </c>
    </row>
    <row r="36" spans="1:12" x14ac:dyDescent="0.35">
      <c r="A36" t="s">
        <v>452</v>
      </c>
      <c r="B36" t="s">
        <v>116</v>
      </c>
      <c r="C36" t="s">
        <v>260</v>
      </c>
    </row>
    <row r="37" spans="1:12" x14ac:dyDescent="0.35">
      <c r="A37" t="s">
        <v>453</v>
      </c>
      <c r="B37" t="s">
        <v>116</v>
      </c>
      <c r="C37" t="e" cm="1">
        <f t="array" ref="C37" xml:space="preserve"> Médiane</f>
        <v>#NAME?</v>
      </c>
    </row>
    <row r="38" spans="1:12" x14ac:dyDescent="0.35">
      <c r="A38" t="s">
        <v>454</v>
      </c>
      <c r="B38" t="s">
        <v>116</v>
      </c>
      <c r="C38" t="s">
        <v>263</v>
      </c>
    </row>
    <row r="39" spans="1:12" x14ac:dyDescent="0.35">
      <c r="A39" t="s">
        <v>455</v>
      </c>
      <c r="B39" t="s">
        <v>116</v>
      </c>
      <c r="C39" t="s">
        <v>265</v>
      </c>
    </row>
    <row r="40" spans="1:12" x14ac:dyDescent="0.35">
      <c r="A40" t="s">
        <v>456</v>
      </c>
      <c r="B40" t="s">
        <v>116</v>
      </c>
      <c r="C40" t="s">
        <v>267</v>
      </c>
    </row>
    <row r="41" spans="1:12" x14ac:dyDescent="0.35">
      <c r="A41" t="s">
        <v>457</v>
      </c>
      <c r="B41" t="s">
        <v>116</v>
      </c>
      <c r="C41" t="s">
        <v>269</v>
      </c>
    </row>
    <row r="42" spans="1:12" x14ac:dyDescent="0.35">
      <c r="A42" t="s">
        <v>458</v>
      </c>
      <c r="B42" t="s">
        <v>116</v>
      </c>
      <c r="C42" t="s">
        <v>271</v>
      </c>
    </row>
    <row r="43" spans="1:12" x14ac:dyDescent="0.35">
      <c r="A43" t="s">
        <v>459</v>
      </c>
      <c r="B43" t="s">
        <v>116</v>
      </c>
      <c r="C43" t="s">
        <v>273</v>
      </c>
    </row>
    <row r="44" spans="1:12" x14ac:dyDescent="0.35">
      <c r="A44" t="s">
        <v>460</v>
      </c>
      <c r="B44" t="s">
        <v>116</v>
      </c>
      <c r="C44" t="s">
        <v>275</v>
      </c>
    </row>
    <row r="45" spans="1:12" x14ac:dyDescent="0.35">
      <c r="A45" t="s">
        <v>461</v>
      </c>
      <c r="B45" t="s">
        <v>116</v>
      </c>
      <c r="C45" t="s">
        <v>277</v>
      </c>
    </row>
    <row r="46" spans="1:12" x14ac:dyDescent="0.35">
      <c r="A46" t="s">
        <v>462</v>
      </c>
      <c r="B46" t="s">
        <v>116</v>
      </c>
      <c r="C46" t="s">
        <v>279</v>
      </c>
    </row>
    <row r="47" spans="1:12" x14ac:dyDescent="0.35">
      <c r="A47" t="s">
        <v>463</v>
      </c>
      <c r="B47" t="s">
        <v>116</v>
      </c>
      <c r="C47" t="s">
        <v>281</v>
      </c>
    </row>
    <row r="48" spans="1:12" x14ac:dyDescent="0.35">
      <c r="A48" t="s">
        <v>464</v>
      </c>
      <c r="B48" t="s">
        <v>116</v>
      </c>
      <c r="C48" t="s">
        <v>283</v>
      </c>
    </row>
    <row r="49" spans="1:12" x14ac:dyDescent="0.35">
      <c r="A49" t="s">
        <v>465</v>
      </c>
      <c r="B49" t="s">
        <v>116</v>
      </c>
      <c r="C49" t="s">
        <v>285</v>
      </c>
    </row>
    <row r="50" spans="1:12" x14ac:dyDescent="0.35">
      <c r="A50" t="s">
        <v>466</v>
      </c>
      <c r="B50" t="s">
        <v>245</v>
      </c>
      <c r="C50" t="s">
        <v>53</v>
      </c>
      <c r="H50" t="s">
        <v>296</v>
      </c>
      <c r="I50" t="s">
        <v>54</v>
      </c>
      <c r="L50" t="s">
        <v>93</v>
      </c>
    </row>
    <row r="51" spans="1:12" x14ac:dyDescent="0.35">
      <c r="A51" t="s">
        <v>467</v>
      </c>
      <c r="B51" t="s">
        <v>245</v>
      </c>
      <c r="C51" t="s">
        <v>35</v>
      </c>
      <c r="H51" t="s">
        <v>298</v>
      </c>
      <c r="L51" t="s">
        <v>93</v>
      </c>
    </row>
    <row r="52" spans="1:12" x14ac:dyDescent="0.35">
      <c r="A52" t="s">
        <v>468</v>
      </c>
      <c r="B52" t="s">
        <v>114</v>
      </c>
      <c r="C52" t="s">
        <v>43</v>
      </c>
      <c r="L52" t="s">
        <v>93</v>
      </c>
    </row>
    <row r="53" spans="1:12" x14ac:dyDescent="0.35">
      <c r="A53" t="s">
        <v>469</v>
      </c>
      <c r="B53" t="s">
        <v>116</v>
      </c>
      <c r="C53" t="s">
        <v>338</v>
      </c>
    </row>
    <row r="54" spans="1:12" x14ac:dyDescent="0.35">
      <c r="A54" t="s">
        <v>470</v>
      </c>
      <c r="B54" t="s">
        <v>116</v>
      </c>
      <c r="C54" t="s">
        <v>340</v>
      </c>
    </row>
    <row r="55" spans="1:12" x14ac:dyDescent="0.35">
      <c r="A55" t="s">
        <v>471</v>
      </c>
      <c r="B55" t="s">
        <v>116</v>
      </c>
      <c r="C55" t="s">
        <v>342</v>
      </c>
    </row>
    <row r="56" spans="1:12" x14ac:dyDescent="0.35">
      <c r="A56" t="s">
        <v>472</v>
      </c>
      <c r="B56" t="s">
        <v>114</v>
      </c>
      <c r="C56" t="s">
        <v>38</v>
      </c>
      <c r="L56" t="s">
        <v>93</v>
      </c>
    </row>
    <row r="57" spans="1:12" x14ac:dyDescent="0.35">
      <c r="A57" t="s">
        <v>473</v>
      </c>
      <c r="B57" t="s">
        <v>116</v>
      </c>
      <c r="C57" t="s">
        <v>320</v>
      </c>
    </row>
    <row r="58" spans="1:12" x14ac:dyDescent="0.35">
      <c r="A58" t="s">
        <v>474</v>
      </c>
      <c r="B58" t="s">
        <v>116</v>
      </c>
      <c r="C58" t="s">
        <v>322</v>
      </c>
    </row>
    <row r="59" spans="1:12" x14ac:dyDescent="0.35">
      <c r="A59" t="s">
        <v>475</v>
      </c>
      <c r="B59" t="s">
        <v>116</v>
      </c>
      <c r="C59" t="s">
        <v>324</v>
      </c>
    </row>
    <row r="60" spans="1:12" x14ac:dyDescent="0.35">
      <c r="A60" t="s">
        <v>476</v>
      </c>
      <c r="B60" t="s">
        <v>116</v>
      </c>
      <c r="C60" t="s">
        <v>326</v>
      </c>
    </row>
    <row r="61" spans="1:12" x14ac:dyDescent="0.35">
      <c r="A61" t="s">
        <v>477</v>
      </c>
      <c r="B61" t="s">
        <v>116</v>
      </c>
      <c r="C61" t="s">
        <v>315</v>
      </c>
    </row>
    <row r="62" spans="1:12" x14ac:dyDescent="0.35">
      <c r="A62" t="s">
        <v>478</v>
      </c>
      <c r="B62" t="s">
        <v>116</v>
      </c>
      <c r="C62" t="s">
        <v>329</v>
      </c>
    </row>
    <row r="63" spans="1:12" x14ac:dyDescent="0.35">
      <c r="A63" t="s">
        <v>479</v>
      </c>
      <c r="B63" t="s">
        <v>4</v>
      </c>
      <c r="C63" t="s">
        <v>55</v>
      </c>
      <c r="H63" t="s">
        <v>480</v>
      </c>
      <c r="L63" t="s">
        <v>93</v>
      </c>
    </row>
    <row r="64" spans="1:12" x14ac:dyDescent="0.35">
      <c r="A64" t="s">
        <v>481</v>
      </c>
      <c r="B64" t="s">
        <v>245</v>
      </c>
      <c r="C64" t="s">
        <v>40</v>
      </c>
      <c r="H64" t="s">
        <v>482</v>
      </c>
      <c r="I64" t="s">
        <v>41</v>
      </c>
      <c r="L64" t="s">
        <v>93</v>
      </c>
    </row>
    <row r="65" spans="1:12" x14ac:dyDescent="0.35">
      <c r="A65" t="s">
        <v>483</v>
      </c>
      <c r="B65" t="s">
        <v>335</v>
      </c>
      <c r="C65" t="s">
        <v>42</v>
      </c>
      <c r="H65" t="s">
        <v>482</v>
      </c>
      <c r="I65" t="s">
        <v>41</v>
      </c>
      <c r="L65" t="s">
        <v>93</v>
      </c>
    </row>
    <row r="66" spans="1:12" x14ac:dyDescent="0.35">
      <c r="A66" t="s">
        <v>484</v>
      </c>
      <c r="B66" t="s">
        <v>114</v>
      </c>
      <c r="C66" t="s">
        <v>44</v>
      </c>
      <c r="L66" t="s">
        <v>93</v>
      </c>
    </row>
    <row r="67" spans="1:12" x14ac:dyDescent="0.35">
      <c r="A67" t="s">
        <v>485</v>
      </c>
      <c r="B67" t="s">
        <v>116</v>
      </c>
      <c r="C67" t="s">
        <v>18</v>
      </c>
    </row>
    <row r="68" spans="1:12" x14ac:dyDescent="0.35">
      <c r="A68" t="s">
        <v>486</v>
      </c>
      <c r="B68" t="s">
        <v>116</v>
      </c>
      <c r="C68" t="s">
        <v>167</v>
      </c>
    </row>
    <row r="69" spans="1:12" x14ac:dyDescent="0.35">
      <c r="A69" t="s">
        <v>487</v>
      </c>
      <c r="B69" t="s">
        <v>9</v>
      </c>
      <c r="C69" t="s">
        <v>56</v>
      </c>
      <c r="H69" t="s">
        <v>488</v>
      </c>
      <c r="L69" t="s">
        <v>93</v>
      </c>
    </row>
    <row r="70" spans="1:12" x14ac:dyDescent="0.35">
      <c r="A70" t="s">
        <v>489</v>
      </c>
      <c r="B70" t="s">
        <v>335</v>
      </c>
      <c r="C70" t="s">
        <v>47</v>
      </c>
      <c r="H70" t="s">
        <v>488</v>
      </c>
      <c r="L70" t="s">
        <v>93</v>
      </c>
    </row>
    <row r="71" spans="1:12" x14ac:dyDescent="0.35">
      <c r="A71" t="s">
        <v>490</v>
      </c>
      <c r="B71" t="s">
        <v>114</v>
      </c>
      <c r="C71" t="s">
        <v>57</v>
      </c>
      <c r="H71" t="s">
        <v>425</v>
      </c>
      <c r="L71" t="s">
        <v>93</v>
      </c>
    </row>
    <row r="72" spans="1:12" x14ac:dyDescent="0.35">
      <c r="A72" t="s">
        <v>491</v>
      </c>
      <c r="B72" t="s">
        <v>116</v>
      </c>
      <c r="C72" t="s">
        <v>18</v>
      </c>
    </row>
    <row r="73" spans="1:12" x14ac:dyDescent="0.35">
      <c r="A73" t="s">
        <v>492</v>
      </c>
      <c r="B73" t="s">
        <v>116</v>
      </c>
      <c r="C73" t="s">
        <v>167</v>
      </c>
    </row>
    <row r="74" spans="1:12" x14ac:dyDescent="0.35">
      <c r="A74" t="s">
        <v>493</v>
      </c>
      <c r="B74" t="s">
        <v>114</v>
      </c>
      <c r="C74" t="s">
        <v>45</v>
      </c>
      <c r="L74" t="s">
        <v>111</v>
      </c>
    </row>
    <row r="75" spans="1:12" x14ac:dyDescent="0.35">
      <c r="A75" t="s">
        <v>494</v>
      </c>
      <c r="B75" t="s">
        <v>116</v>
      </c>
      <c r="C75" t="s">
        <v>348</v>
      </c>
    </row>
    <row r="76" spans="1:12" x14ac:dyDescent="0.35">
      <c r="A76" t="s">
        <v>495</v>
      </c>
      <c r="B76" t="s">
        <v>116</v>
      </c>
      <c r="C76" t="s">
        <v>350</v>
      </c>
    </row>
    <row r="77" spans="1:12" x14ac:dyDescent="0.35">
      <c r="A77" t="s">
        <v>496</v>
      </c>
      <c r="B77" t="s">
        <v>116</v>
      </c>
      <c r="C77" t="s">
        <v>352</v>
      </c>
    </row>
    <row r="78" spans="1:12" x14ac:dyDescent="0.35">
      <c r="A78" t="s">
        <v>497</v>
      </c>
      <c r="B78" t="s">
        <v>245</v>
      </c>
      <c r="C78" t="s">
        <v>47</v>
      </c>
      <c r="H78" t="s">
        <v>498</v>
      </c>
      <c r="L78" t="s">
        <v>93</v>
      </c>
    </row>
    <row r="79" spans="1:12" x14ac:dyDescent="0.35">
      <c r="A79" t="s">
        <v>499</v>
      </c>
      <c r="B79" t="s">
        <v>4</v>
      </c>
      <c r="C79" t="s">
        <v>58</v>
      </c>
      <c r="L79" t="s">
        <v>111</v>
      </c>
    </row>
    <row r="80" spans="1:12" x14ac:dyDescent="0.35">
      <c r="A80" t="s">
        <v>500</v>
      </c>
      <c r="B80" t="s">
        <v>4</v>
      </c>
      <c r="C80" t="s">
        <v>49</v>
      </c>
      <c r="L80" t="s">
        <v>111</v>
      </c>
    </row>
    <row r="81" spans="1:12" x14ac:dyDescent="0.35">
      <c r="A81" t="s">
        <v>501</v>
      </c>
      <c r="B81" t="s">
        <v>9</v>
      </c>
      <c r="C81" t="s">
        <v>50</v>
      </c>
      <c r="L81" t="s">
        <v>93</v>
      </c>
    </row>
    <row r="82" spans="1:12" x14ac:dyDescent="0.35">
      <c r="A82" t="s">
        <v>502</v>
      </c>
      <c r="B82" t="s">
        <v>149</v>
      </c>
      <c r="H82" t="s">
        <v>425</v>
      </c>
      <c r="K82" t="s">
        <v>242</v>
      </c>
      <c r="L82" t="s">
        <v>111</v>
      </c>
    </row>
    <row r="83" spans="1:12" x14ac:dyDescent="0.35">
      <c r="A83" t="s">
        <v>359</v>
      </c>
      <c r="B83" t="s">
        <v>110</v>
      </c>
      <c r="C83" t="s">
        <v>16</v>
      </c>
      <c r="L83" t="s">
        <v>111</v>
      </c>
    </row>
    <row r="84" spans="1:12" x14ac:dyDescent="0.35">
      <c r="A84" t="s">
        <v>503</v>
      </c>
      <c r="B84" t="s">
        <v>219</v>
      </c>
      <c r="C84" s="1" t="s">
        <v>504</v>
      </c>
      <c r="L84" t="s">
        <v>111</v>
      </c>
    </row>
    <row r="85" spans="1:12" x14ac:dyDescent="0.35">
      <c r="A85" t="s">
        <v>505</v>
      </c>
      <c r="B85" t="s">
        <v>114</v>
      </c>
      <c r="C85" t="s">
        <v>59</v>
      </c>
      <c r="L85" t="s">
        <v>93</v>
      </c>
    </row>
    <row r="86" spans="1:12" x14ac:dyDescent="0.35">
      <c r="A86" t="s">
        <v>506</v>
      </c>
      <c r="B86" t="s">
        <v>116</v>
      </c>
      <c r="C86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6"/>
  <sheetViews>
    <sheetView workbookViewId="0">
      <selection activeCell="F14" sqref="F14"/>
    </sheetView>
  </sheetViews>
  <sheetFormatPr defaultRowHeight="14.5" x14ac:dyDescent="0.35"/>
  <sheetData>
    <row r="1" spans="1:1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5">
      <c r="A2" t="s">
        <v>507</v>
      </c>
      <c r="B2" t="s">
        <v>219</v>
      </c>
      <c r="C2" t="s">
        <v>508</v>
      </c>
      <c r="L2" t="s">
        <v>111</v>
      </c>
    </row>
    <row r="3" spans="1:15" x14ac:dyDescent="0.35">
      <c r="A3" t="s">
        <v>509</v>
      </c>
      <c r="B3" t="s">
        <v>9</v>
      </c>
      <c r="C3" t="s">
        <v>68</v>
      </c>
      <c r="I3" t="s">
        <v>61</v>
      </c>
      <c r="L3" t="s">
        <v>93</v>
      </c>
    </row>
    <row r="4" spans="1:15" x14ac:dyDescent="0.35">
      <c r="A4" t="s">
        <v>510</v>
      </c>
      <c r="B4" t="s">
        <v>9</v>
      </c>
      <c r="C4" t="s">
        <v>69</v>
      </c>
      <c r="I4" t="s">
        <v>369</v>
      </c>
      <c r="L4" t="s">
        <v>93</v>
      </c>
    </row>
    <row r="5" spans="1:15" x14ac:dyDescent="0.35">
      <c r="A5" t="s">
        <v>364</v>
      </c>
      <c r="B5" t="s">
        <v>110</v>
      </c>
      <c r="C5" t="s">
        <v>0</v>
      </c>
      <c r="L5" t="s">
        <v>111</v>
      </c>
    </row>
    <row r="6" spans="1:15" x14ac:dyDescent="0.35">
      <c r="A6" t="s">
        <v>511</v>
      </c>
      <c r="B6" t="s">
        <v>245</v>
      </c>
      <c r="C6" t="s">
        <v>52</v>
      </c>
      <c r="I6" t="s">
        <v>28</v>
      </c>
      <c r="L6" t="s">
        <v>93</v>
      </c>
    </row>
    <row r="7" spans="1:15" x14ac:dyDescent="0.35">
      <c r="A7" t="s">
        <v>512</v>
      </c>
      <c r="B7" t="s">
        <v>149</v>
      </c>
      <c r="K7" t="s">
        <v>513</v>
      </c>
      <c r="L7" t="s">
        <v>111</v>
      </c>
    </row>
    <row r="8" spans="1:15" x14ac:dyDescent="0.35">
      <c r="A8" t="s">
        <v>378</v>
      </c>
      <c r="B8" t="s">
        <v>219</v>
      </c>
      <c r="C8" t="s">
        <v>514</v>
      </c>
      <c r="L8" t="s">
        <v>111</v>
      </c>
    </row>
    <row r="9" spans="1:15" x14ac:dyDescent="0.35">
      <c r="A9" t="s">
        <v>515</v>
      </c>
      <c r="B9" t="s">
        <v>245</v>
      </c>
      <c r="C9" t="s">
        <v>29</v>
      </c>
      <c r="I9" t="s">
        <v>30</v>
      </c>
      <c r="L9" t="s">
        <v>93</v>
      </c>
    </row>
    <row r="10" spans="1:15" x14ac:dyDescent="0.35">
      <c r="A10" t="s">
        <v>516</v>
      </c>
      <c r="B10" t="s">
        <v>149</v>
      </c>
      <c r="K10" t="s">
        <v>517</v>
      </c>
      <c r="L10" t="s">
        <v>111</v>
      </c>
    </row>
    <row r="11" spans="1:15" x14ac:dyDescent="0.35">
      <c r="A11" t="s">
        <v>518</v>
      </c>
      <c r="B11" t="s">
        <v>219</v>
      </c>
      <c r="C11" t="s">
        <v>519</v>
      </c>
      <c r="L11" t="s">
        <v>111</v>
      </c>
    </row>
    <row r="12" spans="1:15" x14ac:dyDescent="0.35">
      <c r="A12" t="s">
        <v>520</v>
      </c>
      <c r="B12" t="s">
        <v>114</v>
      </c>
      <c r="C12" t="s">
        <v>70</v>
      </c>
      <c r="L12" t="s">
        <v>93</v>
      </c>
    </row>
    <row r="13" spans="1:15" x14ac:dyDescent="0.35">
      <c r="A13" t="s">
        <v>521</v>
      </c>
      <c r="B13" t="s">
        <v>116</v>
      </c>
      <c r="C13" t="s">
        <v>18</v>
      </c>
    </row>
    <row r="14" spans="1:15" x14ac:dyDescent="0.35">
      <c r="A14" t="s">
        <v>522</v>
      </c>
      <c r="B14" t="s">
        <v>116</v>
      </c>
      <c r="C14" t="s">
        <v>167</v>
      </c>
    </row>
    <row r="15" spans="1:15" x14ac:dyDescent="0.35">
      <c r="A15" t="s">
        <v>523</v>
      </c>
      <c r="B15" t="s">
        <v>335</v>
      </c>
      <c r="C15" t="s">
        <v>71</v>
      </c>
      <c r="H15" t="s">
        <v>524</v>
      </c>
      <c r="L15" t="s">
        <v>93</v>
      </c>
    </row>
    <row r="16" spans="1:15" x14ac:dyDescent="0.35">
      <c r="A16" t="s">
        <v>380</v>
      </c>
      <c r="B16" t="s">
        <v>114</v>
      </c>
      <c r="C16" t="s">
        <v>1</v>
      </c>
      <c r="L16" t="s">
        <v>93</v>
      </c>
    </row>
    <row r="17" spans="1:12" x14ac:dyDescent="0.35">
      <c r="A17" t="s">
        <v>381</v>
      </c>
      <c r="B17" t="s">
        <v>116</v>
      </c>
      <c r="C17" t="s">
        <v>382</v>
      </c>
    </row>
    <row r="18" spans="1:12" x14ac:dyDescent="0.35">
      <c r="A18" t="s">
        <v>525</v>
      </c>
      <c r="B18" t="s">
        <v>116</v>
      </c>
      <c r="C18" t="s">
        <v>526</v>
      </c>
    </row>
    <row r="19" spans="1:12" x14ac:dyDescent="0.35">
      <c r="A19" t="s">
        <v>385</v>
      </c>
      <c r="B19" t="s">
        <v>116</v>
      </c>
      <c r="C19" t="s">
        <v>386</v>
      </c>
    </row>
    <row r="20" spans="1:12" x14ac:dyDescent="0.35">
      <c r="A20" t="s">
        <v>527</v>
      </c>
      <c r="B20" t="s">
        <v>116</v>
      </c>
      <c r="C20" t="s">
        <v>392</v>
      </c>
    </row>
    <row r="21" spans="1:12" x14ac:dyDescent="0.35">
      <c r="A21" t="s">
        <v>528</v>
      </c>
      <c r="B21" t="s">
        <v>116</v>
      </c>
      <c r="C21" t="s">
        <v>394</v>
      </c>
    </row>
    <row r="22" spans="1:12" x14ac:dyDescent="0.35">
      <c r="A22" t="s">
        <v>389</v>
      </c>
      <c r="B22" t="s">
        <v>116</v>
      </c>
      <c r="C22" t="s">
        <v>390</v>
      </c>
    </row>
    <row r="23" spans="1:12" x14ac:dyDescent="0.35">
      <c r="A23" t="s">
        <v>529</v>
      </c>
      <c r="B23" t="s">
        <v>149</v>
      </c>
      <c r="K23" t="s">
        <v>530</v>
      </c>
      <c r="L23" t="s">
        <v>111</v>
      </c>
    </row>
    <row r="24" spans="1:12" x14ac:dyDescent="0.35">
      <c r="A24" t="s">
        <v>531</v>
      </c>
      <c r="B24" t="s">
        <v>149</v>
      </c>
      <c r="K24" t="s">
        <v>532</v>
      </c>
      <c r="L24" t="s">
        <v>111</v>
      </c>
    </row>
    <row r="25" spans="1:12" x14ac:dyDescent="0.35">
      <c r="A25" t="s">
        <v>533</v>
      </c>
      <c r="B25" t="s">
        <v>149</v>
      </c>
      <c r="K25" t="s">
        <v>534</v>
      </c>
      <c r="L25" t="s">
        <v>111</v>
      </c>
    </row>
    <row r="26" spans="1:12" x14ac:dyDescent="0.35">
      <c r="A26" t="s">
        <v>535</v>
      </c>
      <c r="B26" t="s">
        <v>149</v>
      </c>
      <c r="K26" t="s">
        <v>67</v>
      </c>
      <c r="L26" t="s">
        <v>111</v>
      </c>
    </row>
    <row r="27" spans="1:12" x14ac:dyDescent="0.35">
      <c r="A27" t="s">
        <v>536</v>
      </c>
      <c r="B27" t="s">
        <v>149</v>
      </c>
      <c r="K27">
        <v>0</v>
      </c>
      <c r="L27" t="s">
        <v>111</v>
      </c>
    </row>
    <row r="28" spans="1:12" x14ac:dyDescent="0.35">
      <c r="A28" t="s">
        <v>537</v>
      </c>
      <c r="B28" t="s">
        <v>4</v>
      </c>
      <c r="C28" t="s">
        <v>72</v>
      </c>
      <c r="L28" t="s">
        <v>111</v>
      </c>
    </row>
    <row r="29" spans="1:12" x14ac:dyDescent="0.35">
      <c r="A29" t="s">
        <v>236</v>
      </c>
      <c r="B29" t="s">
        <v>114</v>
      </c>
      <c r="C29" t="s">
        <v>25</v>
      </c>
      <c r="L29" t="s">
        <v>93</v>
      </c>
    </row>
    <row r="30" spans="1:12" x14ac:dyDescent="0.35">
      <c r="A30" t="s">
        <v>237</v>
      </c>
      <c r="B30" t="s">
        <v>116</v>
      </c>
      <c r="C30" t="s">
        <v>216</v>
      </c>
    </row>
    <row r="31" spans="1:12" x14ac:dyDescent="0.35">
      <c r="A31" t="s">
        <v>238</v>
      </c>
      <c r="B31" t="s">
        <v>116</v>
      </c>
      <c r="C31" t="s">
        <v>214</v>
      </c>
    </row>
    <row r="32" spans="1:12" x14ac:dyDescent="0.35">
      <c r="A32" t="s">
        <v>232</v>
      </c>
      <c r="B32" t="s">
        <v>4</v>
      </c>
      <c r="C32" t="s">
        <v>3</v>
      </c>
      <c r="L32" t="s">
        <v>93</v>
      </c>
    </row>
    <row r="33" spans="1:12" x14ac:dyDescent="0.35">
      <c r="A33" t="s">
        <v>359</v>
      </c>
      <c r="B33" t="s">
        <v>110</v>
      </c>
      <c r="C33" t="s">
        <v>16</v>
      </c>
      <c r="L33" t="s">
        <v>111</v>
      </c>
    </row>
    <row r="34" spans="1:12" x14ac:dyDescent="0.35">
      <c r="A34" t="s">
        <v>538</v>
      </c>
      <c r="B34" t="s">
        <v>219</v>
      </c>
      <c r="C34" s="1" t="s">
        <v>539</v>
      </c>
      <c r="L34" t="s">
        <v>111</v>
      </c>
    </row>
    <row r="35" spans="1:12" x14ac:dyDescent="0.35">
      <c r="A35" t="s">
        <v>402</v>
      </c>
      <c r="B35" t="s">
        <v>114</v>
      </c>
      <c r="C35" t="s">
        <v>66</v>
      </c>
      <c r="L35" t="s">
        <v>93</v>
      </c>
    </row>
    <row r="36" spans="1:12" x14ac:dyDescent="0.35">
      <c r="A36" t="s">
        <v>403</v>
      </c>
      <c r="B36" t="s">
        <v>116</v>
      </c>
      <c r="C36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79"/>
  <sheetViews>
    <sheetView workbookViewId="0">
      <selection activeCell="H18" sqref="H18"/>
    </sheetView>
  </sheetViews>
  <sheetFormatPr defaultRowHeight="14.5" x14ac:dyDescent="0.35"/>
  <sheetData>
    <row r="1" spans="1:1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5">
      <c r="A2" t="s">
        <v>223</v>
      </c>
      <c r="B2" t="s">
        <v>149</v>
      </c>
      <c r="K2" t="s">
        <v>224</v>
      </c>
      <c r="L2" t="s">
        <v>111</v>
      </c>
    </row>
    <row r="3" spans="1:15" x14ac:dyDescent="0.35">
      <c r="A3" t="s">
        <v>225</v>
      </c>
      <c r="B3" t="s">
        <v>219</v>
      </c>
      <c r="C3" s="1" t="s">
        <v>540</v>
      </c>
      <c r="L3" t="s">
        <v>111</v>
      </c>
    </row>
    <row r="4" spans="1:15" x14ac:dyDescent="0.35">
      <c r="A4" t="s">
        <v>541</v>
      </c>
      <c r="B4" t="s">
        <v>149</v>
      </c>
      <c r="K4" t="s">
        <v>542</v>
      </c>
      <c r="L4" t="s">
        <v>111</v>
      </c>
    </row>
    <row r="5" spans="1:15" x14ac:dyDescent="0.35">
      <c r="A5" t="s">
        <v>229</v>
      </c>
      <c r="B5" t="s">
        <v>219</v>
      </c>
      <c r="C5" s="1" t="s">
        <v>543</v>
      </c>
      <c r="H5" t="s">
        <v>544</v>
      </c>
      <c r="L5" t="s">
        <v>111</v>
      </c>
    </row>
    <row r="6" spans="1:15" x14ac:dyDescent="0.35">
      <c r="A6" t="s">
        <v>416</v>
      </c>
      <c r="B6" t="s">
        <v>4</v>
      </c>
      <c r="C6" t="s">
        <v>3</v>
      </c>
      <c r="L6" t="s">
        <v>93</v>
      </c>
    </row>
    <row r="7" spans="1:15" x14ac:dyDescent="0.35">
      <c r="A7" t="s">
        <v>239</v>
      </c>
      <c r="B7" t="s">
        <v>9</v>
      </c>
      <c r="C7" t="s">
        <v>9</v>
      </c>
      <c r="L7" t="s">
        <v>93</v>
      </c>
    </row>
    <row r="8" spans="1:15" x14ac:dyDescent="0.35">
      <c r="A8" t="s">
        <v>417</v>
      </c>
      <c r="B8" t="s">
        <v>114</v>
      </c>
      <c r="C8" t="s">
        <v>24</v>
      </c>
      <c r="L8" t="s">
        <v>93</v>
      </c>
    </row>
    <row r="9" spans="1:15" x14ac:dyDescent="0.35">
      <c r="A9" t="s">
        <v>418</v>
      </c>
      <c r="B9" t="s">
        <v>116</v>
      </c>
      <c r="C9" t="s">
        <v>23</v>
      </c>
    </row>
    <row r="10" spans="1:15" x14ac:dyDescent="0.35">
      <c r="A10" t="s">
        <v>419</v>
      </c>
      <c r="B10" t="s">
        <v>116</v>
      </c>
      <c r="C10" t="s">
        <v>2</v>
      </c>
    </row>
    <row r="11" spans="1:15" x14ac:dyDescent="0.35">
      <c r="A11" t="s">
        <v>545</v>
      </c>
      <c r="B11" t="s">
        <v>245</v>
      </c>
      <c r="C11" t="s">
        <v>52</v>
      </c>
      <c r="I11" t="s">
        <v>28</v>
      </c>
      <c r="L11" t="s">
        <v>93</v>
      </c>
    </row>
    <row r="12" spans="1:15" x14ac:dyDescent="0.35">
      <c r="A12" t="s">
        <v>546</v>
      </c>
      <c r="B12" t="s">
        <v>149</v>
      </c>
      <c r="H12" t="s">
        <v>425</v>
      </c>
      <c r="K12" t="s">
        <v>242</v>
      </c>
      <c r="L12" t="s">
        <v>111</v>
      </c>
    </row>
    <row r="13" spans="1:15" x14ac:dyDescent="0.35">
      <c r="A13" t="s">
        <v>547</v>
      </c>
      <c r="B13" t="s">
        <v>149</v>
      </c>
      <c r="H13" t="s">
        <v>425</v>
      </c>
      <c r="K13" t="s">
        <v>548</v>
      </c>
      <c r="L13" t="s">
        <v>111</v>
      </c>
    </row>
    <row r="14" spans="1:15" x14ac:dyDescent="0.35">
      <c r="A14" t="s">
        <v>549</v>
      </c>
      <c r="B14" t="s">
        <v>149</v>
      </c>
      <c r="K14" t="s">
        <v>550</v>
      </c>
      <c r="L14" t="s">
        <v>111</v>
      </c>
    </row>
    <row r="15" spans="1:15" x14ac:dyDescent="0.35">
      <c r="A15" t="s">
        <v>551</v>
      </c>
      <c r="B15" t="s">
        <v>149</v>
      </c>
      <c r="K15" t="s">
        <v>552</v>
      </c>
      <c r="L15" t="s">
        <v>111</v>
      </c>
    </row>
    <row r="16" spans="1:15" x14ac:dyDescent="0.35">
      <c r="A16" t="s">
        <v>553</v>
      </c>
      <c r="B16" t="s">
        <v>219</v>
      </c>
      <c r="C16" s="1" t="s">
        <v>554</v>
      </c>
      <c r="L16" t="s">
        <v>111</v>
      </c>
    </row>
    <row r="17" spans="1:12" x14ac:dyDescent="0.35">
      <c r="A17" t="s">
        <v>555</v>
      </c>
      <c r="B17" t="s">
        <v>245</v>
      </c>
      <c r="C17" t="s">
        <v>29</v>
      </c>
      <c r="I17" t="s">
        <v>30</v>
      </c>
      <c r="L17" t="s">
        <v>93</v>
      </c>
    </row>
    <row r="18" spans="1:12" x14ac:dyDescent="0.35">
      <c r="A18" t="s">
        <v>556</v>
      </c>
      <c r="B18" t="s">
        <v>114</v>
      </c>
      <c r="C18" t="s">
        <v>31</v>
      </c>
      <c r="H18" t="s">
        <v>296</v>
      </c>
      <c r="L18" t="s">
        <v>93</v>
      </c>
    </row>
    <row r="19" spans="1:12" x14ac:dyDescent="0.35">
      <c r="A19" t="s">
        <v>557</v>
      </c>
      <c r="B19" t="s">
        <v>116</v>
      </c>
      <c r="C19" t="s">
        <v>258</v>
      </c>
    </row>
    <row r="20" spans="1:12" x14ac:dyDescent="0.35">
      <c r="A20" t="s">
        <v>558</v>
      </c>
      <c r="B20" t="s">
        <v>116</v>
      </c>
      <c r="C20" t="s">
        <v>260</v>
      </c>
    </row>
    <row r="21" spans="1:12" x14ac:dyDescent="0.35">
      <c r="A21" t="s">
        <v>559</v>
      </c>
      <c r="B21" t="s">
        <v>116</v>
      </c>
      <c r="C21" t="e" cm="1">
        <f t="array" ref="C21" xml:space="preserve"> Médiane</f>
        <v>#NAME?</v>
      </c>
    </row>
    <row r="22" spans="1:12" x14ac:dyDescent="0.35">
      <c r="A22" t="s">
        <v>560</v>
      </c>
      <c r="B22" t="s">
        <v>116</v>
      </c>
      <c r="C22" t="s">
        <v>263</v>
      </c>
    </row>
    <row r="23" spans="1:12" x14ac:dyDescent="0.35">
      <c r="A23" t="s">
        <v>561</v>
      </c>
      <c r="B23" t="s">
        <v>116</v>
      </c>
      <c r="C23" t="s">
        <v>265</v>
      </c>
    </row>
    <row r="24" spans="1:12" x14ac:dyDescent="0.35">
      <c r="A24" t="s">
        <v>562</v>
      </c>
      <c r="B24" t="s">
        <v>116</v>
      </c>
      <c r="C24" t="s">
        <v>267</v>
      </c>
    </row>
    <row r="25" spans="1:12" x14ac:dyDescent="0.35">
      <c r="A25" t="s">
        <v>563</v>
      </c>
      <c r="B25" t="s">
        <v>116</v>
      </c>
      <c r="C25" t="s">
        <v>269</v>
      </c>
    </row>
    <row r="26" spans="1:12" x14ac:dyDescent="0.35">
      <c r="A26" t="s">
        <v>564</v>
      </c>
      <c r="B26" t="s">
        <v>116</v>
      </c>
      <c r="C26" t="s">
        <v>271</v>
      </c>
    </row>
    <row r="27" spans="1:12" x14ac:dyDescent="0.35">
      <c r="A27" t="s">
        <v>565</v>
      </c>
      <c r="B27" t="s">
        <v>116</v>
      </c>
      <c r="C27" t="s">
        <v>273</v>
      </c>
    </row>
    <row r="28" spans="1:12" x14ac:dyDescent="0.35">
      <c r="A28" t="s">
        <v>566</v>
      </c>
      <c r="B28" t="s">
        <v>116</v>
      </c>
      <c r="C28" t="s">
        <v>275</v>
      </c>
    </row>
    <row r="29" spans="1:12" x14ac:dyDescent="0.35">
      <c r="A29" t="s">
        <v>567</v>
      </c>
      <c r="B29" t="s">
        <v>116</v>
      </c>
      <c r="C29" t="s">
        <v>277</v>
      </c>
    </row>
    <row r="30" spans="1:12" x14ac:dyDescent="0.35">
      <c r="A30" t="s">
        <v>568</v>
      </c>
      <c r="B30" t="s">
        <v>116</v>
      </c>
      <c r="C30" t="s">
        <v>279</v>
      </c>
    </row>
    <row r="31" spans="1:12" x14ac:dyDescent="0.35">
      <c r="A31" t="s">
        <v>569</v>
      </c>
      <c r="B31" t="s">
        <v>116</v>
      </c>
      <c r="C31" t="s">
        <v>281</v>
      </c>
    </row>
    <row r="32" spans="1:12" x14ac:dyDescent="0.35">
      <c r="A32" t="s">
        <v>570</v>
      </c>
      <c r="B32" t="s">
        <v>116</v>
      </c>
      <c r="C32" t="s">
        <v>283</v>
      </c>
    </row>
    <row r="33" spans="1:12" x14ac:dyDescent="0.35">
      <c r="A33" t="s">
        <v>571</v>
      </c>
      <c r="B33" t="s">
        <v>116</v>
      </c>
      <c r="C33" t="s">
        <v>285</v>
      </c>
    </row>
    <row r="34" spans="1:12" x14ac:dyDescent="0.35">
      <c r="A34" t="s">
        <v>572</v>
      </c>
      <c r="B34" t="s">
        <v>245</v>
      </c>
      <c r="C34" t="s">
        <v>33</v>
      </c>
      <c r="I34" t="s">
        <v>34</v>
      </c>
      <c r="L34" t="s">
        <v>93</v>
      </c>
    </row>
    <row r="35" spans="1:12" x14ac:dyDescent="0.35">
      <c r="A35" t="s">
        <v>573</v>
      </c>
      <c r="B35" t="s">
        <v>245</v>
      </c>
      <c r="C35" t="s">
        <v>35</v>
      </c>
      <c r="H35" t="s">
        <v>298</v>
      </c>
      <c r="L35" t="s">
        <v>93</v>
      </c>
    </row>
    <row r="36" spans="1:12" x14ac:dyDescent="0.35">
      <c r="A36" t="s">
        <v>574</v>
      </c>
      <c r="B36" t="s">
        <v>114</v>
      </c>
      <c r="C36" t="s">
        <v>32</v>
      </c>
      <c r="L36" t="s">
        <v>93</v>
      </c>
    </row>
    <row r="37" spans="1:12" x14ac:dyDescent="0.35">
      <c r="A37" t="s">
        <v>575</v>
      </c>
      <c r="B37" t="s">
        <v>116</v>
      </c>
      <c r="C37" t="s">
        <v>288</v>
      </c>
    </row>
    <row r="38" spans="1:12" x14ac:dyDescent="0.35">
      <c r="A38" t="s">
        <v>576</v>
      </c>
      <c r="B38" t="s">
        <v>116</v>
      </c>
      <c r="C38" t="s">
        <v>290</v>
      </c>
    </row>
    <row r="39" spans="1:12" x14ac:dyDescent="0.35">
      <c r="A39" t="s">
        <v>577</v>
      </c>
      <c r="B39" t="s">
        <v>116</v>
      </c>
      <c r="C39" t="s">
        <v>292</v>
      </c>
    </row>
    <row r="40" spans="1:12" x14ac:dyDescent="0.35">
      <c r="A40" t="s">
        <v>578</v>
      </c>
      <c r="B40" t="s">
        <v>116</v>
      </c>
      <c r="C40" t="s">
        <v>294</v>
      </c>
    </row>
    <row r="41" spans="1:12" x14ac:dyDescent="0.35">
      <c r="A41" t="s">
        <v>579</v>
      </c>
      <c r="B41" t="s">
        <v>114</v>
      </c>
      <c r="C41" t="s">
        <v>43</v>
      </c>
      <c r="L41" t="s">
        <v>93</v>
      </c>
    </row>
    <row r="42" spans="1:12" x14ac:dyDescent="0.35">
      <c r="A42" t="s">
        <v>580</v>
      </c>
      <c r="B42" t="s">
        <v>116</v>
      </c>
      <c r="C42" t="s">
        <v>338</v>
      </c>
    </row>
    <row r="43" spans="1:12" x14ac:dyDescent="0.35">
      <c r="A43" t="s">
        <v>581</v>
      </c>
      <c r="B43" t="s">
        <v>116</v>
      </c>
      <c r="C43" t="s">
        <v>340</v>
      </c>
    </row>
    <row r="44" spans="1:12" x14ac:dyDescent="0.35">
      <c r="A44" t="s">
        <v>582</v>
      </c>
      <c r="B44" t="s">
        <v>116</v>
      </c>
      <c r="C44" t="s">
        <v>342</v>
      </c>
    </row>
    <row r="45" spans="1:12" x14ac:dyDescent="0.35">
      <c r="A45" t="s">
        <v>583</v>
      </c>
      <c r="B45" t="s">
        <v>114</v>
      </c>
      <c r="C45" t="s">
        <v>36</v>
      </c>
      <c r="H45" t="s">
        <v>425</v>
      </c>
      <c r="L45" t="s">
        <v>93</v>
      </c>
    </row>
    <row r="46" spans="1:12" x14ac:dyDescent="0.35">
      <c r="A46" t="s">
        <v>584</v>
      </c>
      <c r="B46" t="s">
        <v>116</v>
      </c>
      <c r="C46" t="s">
        <v>51</v>
      </c>
    </row>
    <row r="47" spans="1:12" x14ac:dyDescent="0.35">
      <c r="A47" t="s">
        <v>585</v>
      </c>
      <c r="B47" t="s">
        <v>116</v>
      </c>
      <c r="C47" t="s">
        <v>26</v>
      </c>
    </row>
    <row r="48" spans="1:12" x14ac:dyDescent="0.35">
      <c r="A48" t="s">
        <v>586</v>
      </c>
      <c r="B48" t="s">
        <v>116</v>
      </c>
      <c r="C48" t="s">
        <v>208</v>
      </c>
    </row>
    <row r="49" spans="1:12" x14ac:dyDescent="0.35">
      <c r="A49" t="s">
        <v>587</v>
      </c>
      <c r="B49" t="s">
        <v>4</v>
      </c>
      <c r="C49" t="s">
        <v>73</v>
      </c>
      <c r="H49" t="s">
        <v>425</v>
      </c>
      <c r="L49" t="s">
        <v>111</v>
      </c>
    </row>
    <row r="50" spans="1:12" x14ac:dyDescent="0.35">
      <c r="A50" t="s">
        <v>588</v>
      </c>
      <c r="B50" t="s">
        <v>114</v>
      </c>
      <c r="C50" t="s">
        <v>74</v>
      </c>
      <c r="L50" t="s">
        <v>93</v>
      </c>
    </row>
    <row r="51" spans="1:12" x14ac:dyDescent="0.35">
      <c r="A51" t="s">
        <v>589</v>
      </c>
      <c r="B51" t="s">
        <v>116</v>
      </c>
      <c r="C51" t="s">
        <v>590</v>
      </c>
    </row>
    <row r="52" spans="1:12" x14ac:dyDescent="0.35">
      <c r="A52" t="s">
        <v>591</v>
      </c>
      <c r="B52" t="s">
        <v>116</v>
      </c>
      <c r="C52" t="s">
        <v>592</v>
      </c>
    </row>
    <row r="53" spans="1:12" x14ac:dyDescent="0.35">
      <c r="A53" t="s">
        <v>593</v>
      </c>
      <c r="B53" t="s">
        <v>116</v>
      </c>
      <c r="C53" t="s">
        <v>594</v>
      </c>
    </row>
    <row r="54" spans="1:12" x14ac:dyDescent="0.35">
      <c r="A54" t="s">
        <v>595</v>
      </c>
      <c r="B54" t="s">
        <v>116</v>
      </c>
      <c r="C54" t="s">
        <v>596</v>
      </c>
    </row>
    <row r="55" spans="1:12" x14ac:dyDescent="0.35">
      <c r="A55" t="s">
        <v>597</v>
      </c>
      <c r="B55" t="s">
        <v>116</v>
      </c>
      <c r="C55" t="s">
        <v>598</v>
      </c>
    </row>
    <row r="56" spans="1:12" x14ac:dyDescent="0.35">
      <c r="A56" t="s">
        <v>599</v>
      </c>
      <c r="B56" t="s">
        <v>116</v>
      </c>
      <c r="C56" t="s">
        <v>600</v>
      </c>
    </row>
    <row r="57" spans="1:12" x14ac:dyDescent="0.35">
      <c r="A57" t="s">
        <v>601</v>
      </c>
      <c r="B57" t="s">
        <v>245</v>
      </c>
      <c r="C57" t="s">
        <v>40</v>
      </c>
      <c r="H57" t="s">
        <v>602</v>
      </c>
      <c r="I57" t="s">
        <v>41</v>
      </c>
      <c r="L57" t="s">
        <v>93</v>
      </c>
    </row>
    <row r="58" spans="1:12" x14ac:dyDescent="0.35">
      <c r="A58" t="s">
        <v>603</v>
      </c>
      <c r="B58" t="s">
        <v>335</v>
      </c>
      <c r="C58" t="s">
        <v>42</v>
      </c>
      <c r="H58" t="s">
        <v>602</v>
      </c>
      <c r="I58" t="s">
        <v>41</v>
      </c>
      <c r="L58" t="s">
        <v>93</v>
      </c>
    </row>
    <row r="59" spans="1:12" x14ac:dyDescent="0.35">
      <c r="A59" t="s">
        <v>604</v>
      </c>
      <c r="B59" t="s">
        <v>605</v>
      </c>
      <c r="C59" t="s">
        <v>75</v>
      </c>
      <c r="L59" t="s">
        <v>93</v>
      </c>
    </row>
    <row r="60" spans="1:12" x14ac:dyDescent="0.35">
      <c r="A60" t="s">
        <v>606</v>
      </c>
      <c r="B60" t="s">
        <v>116</v>
      </c>
      <c r="C60" t="s">
        <v>607</v>
      </c>
    </row>
    <row r="61" spans="1:12" x14ac:dyDescent="0.35">
      <c r="A61" t="s">
        <v>608</v>
      </c>
      <c r="B61" t="s">
        <v>116</v>
      </c>
      <c r="C61" t="s">
        <v>609</v>
      </c>
    </row>
    <row r="62" spans="1:12" x14ac:dyDescent="0.35">
      <c r="A62" t="s">
        <v>610</v>
      </c>
      <c r="B62" t="s">
        <v>116</v>
      </c>
      <c r="C62" t="s">
        <v>611</v>
      </c>
    </row>
    <row r="63" spans="1:12" x14ac:dyDescent="0.35">
      <c r="A63" t="s">
        <v>612</v>
      </c>
      <c r="B63" t="s">
        <v>116</v>
      </c>
      <c r="C63" t="s">
        <v>613</v>
      </c>
    </row>
    <row r="64" spans="1:12" x14ac:dyDescent="0.35">
      <c r="A64" t="s">
        <v>614</v>
      </c>
      <c r="B64" t="s">
        <v>116</v>
      </c>
      <c r="C64" t="s">
        <v>615</v>
      </c>
    </row>
    <row r="65" spans="1:12" x14ac:dyDescent="0.35">
      <c r="A65" t="s">
        <v>616</v>
      </c>
      <c r="B65" t="s">
        <v>116</v>
      </c>
      <c r="C65" t="s">
        <v>617</v>
      </c>
    </row>
    <row r="66" spans="1:12" x14ac:dyDescent="0.35">
      <c r="A66" t="s">
        <v>618</v>
      </c>
      <c r="B66" t="s">
        <v>116</v>
      </c>
      <c r="C66" t="s">
        <v>619</v>
      </c>
    </row>
    <row r="67" spans="1:12" x14ac:dyDescent="0.35">
      <c r="A67" t="s">
        <v>620</v>
      </c>
      <c r="B67" t="s">
        <v>116</v>
      </c>
      <c r="C67" t="s">
        <v>621</v>
      </c>
    </row>
    <row r="68" spans="1:12" x14ac:dyDescent="0.35">
      <c r="A68" t="s">
        <v>622</v>
      </c>
      <c r="B68" t="s">
        <v>116</v>
      </c>
      <c r="C68" t="s">
        <v>623</v>
      </c>
    </row>
    <row r="69" spans="1:12" x14ac:dyDescent="0.35">
      <c r="A69" t="s">
        <v>624</v>
      </c>
      <c r="B69" t="s">
        <v>116</v>
      </c>
      <c r="C69" t="s">
        <v>625</v>
      </c>
    </row>
    <row r="70" spans="1:12" x14ac:dyDescent="0.35">
      <c r="A70" t="s">
        <v>626</v>
      </c>
      <c r="B70" t="s">
        <v>4</v>
      </c>
      <c r="C70" t="s">
        <v>76</v>
      </c>
      <c r="H70" t="s">
        <v>627</v>
      </c>
      <c r="L70" t="s">
        <v>93</v>
      </c>
    </row>
    <row r="71" spans="1:12" x14ac:dyDescent="0.35">
      <c r="A71" t="s">
        <v>628</v>
      </c>
      <c r="B71" t="s">
        <v>9</v>
      </c>
      <c r="C71" t="s">
        <v>56</v>
      </c>
      <c r="H71" t="s">
        <v>629</v>
      </c>
      <c r="L71" t="s">
        <v>93</v>
      </c>
    </row>
    <row r="72" spans="1:12" x14ac:dyDescent="0.35">
      <c r="A72" t="s">
        <v>630</v>
      </c>
      <c r="B72" t="s">
        <v>114</v>
      </c>
      <c r="C72" t="s">
        <v>45</v>
      </c>
      <c r="L72" t="s">
        <v>111</v>
      </c>
    </row>
    <row r="73" spans="1:12" x14ac:dyDescent="0.35">
      <c r="A73" t="s">
        <v>631</v>
      </c>
      <c r="B73" t="s">
        <v>116</v>
      </c>
      <c r="C73" t="s">
        <v>348</v>
      </c>
    </row>
    <row r="74" spans="1:12" x14ac:dyDescent="0.35">
      <c r="A74" t="s">
        <v>632</v>
      </c>
      <c r="B74" t="s">
        <v>116</v>
      </c>
      <c r="C74" t="s">
        <v>350</v>
      </c>
    </row>
    <row r="75" spans="1:12" x14ac:dyDescent="0.35">
      <c r="A75" t="s">
        <v>633</v>
      </c>
      <c r="B75" t="s">
        <v>116</v>
      </c>
      <c r="C75" t="s">
        <v>352</v>
      </c>
    </row>
    <row r="76" spans="1:12" x14ac:dyDescent="0.35">
      <c r="A76" t="s">
        <v>359</v>
      </c>
      <c r="B76" t="s">
        <v>110</v>
      </c>
      <c r="C76" t="s">
        <v>16</v>
      </c>
      <c r="L76" t="s">
        <v>111</v>
      </c>
    </row>
    <row r="77" spans="1:12" x14ac:dyDescent="0.35">
      <c r="A77" t="s">
        <v>634</v>
      </c>
      <c r="B77" t="s">
        <v>219</v>
      </c>
      <c r="C77" s="1" t="s">
        <v>635</v>
      </c>
      <c r="L77" t="s">
        <v>111</v>
      </c>
    </row>
    <row r="78" spans="1:12" x14ac:dyDescent="0.35">
      <c r="A78" t="s">
        <v>402</v>
      </c>
      <c r="B78" t="s">
        <v>114</v>
      </c>
      <c r="C78" t="s">
        <v>66</v>
      </c>
      <c r="L78" t="s">
        <v>93</v>
      </c>
    </row>
    <row r="79" spans="1:12" x14ac:dyDescent="0.35">
      <c r="A79" t="s">
        <v>403</v>
      </c>
      <c r="B79" t="s">
        <v>116</v>
      </c>
      <c r="C79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3"/>
  <sheetViews>
    <sheetView workbookViewId="0">
      <selection activeCell="I18" sqref="I18"/>
    </sheetView>
  </sheetViews>
  <sheetFormatPr defaultRowHeight="14.5" x14ac:dyDescent="0.35"/>
  <sheetData>
    <row r="1" spans="1:1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5">
      <c r="A2" t="s">
        <v>636</v>
      </c>
      <c r="B2" t="s">
        <v>219</v>
      </c>
      <c r="C2" t="s">
        <v>637</v>
      </c>
      <c r="L2" t="s">
        <v>111</v>
      </c>
    </row>
    <row r="3" spans="1:15" x14ac:dyDescent="0.35">
      <c r="A3" t="s">
        <v>638</v>
      </c>
      <c r="B3" t="s">
        <v>9</v>
      </c>
      <c r="C3" t="s">
        <v>77</v>
      </c>
      <c r="I3" t="s">
        <v>61</v>
      </c>
      <c r="L3" t="s">
        <v>93</v>
      </c>
    </row>
    <row r="4" spans="1:15" x14ac:dyDescent="0.35">
      <c r="A4" t="s">
        <v>510</v>
      </c>
      <c r="B4" t="s">
        <v>9</v>
      </c>
      <c r="C4" t="s">
        <v>62</v>
      </c>
      <c r="I4" t="s">
        <v>639</v>
      </c>
      <c r="L4" t="s">
        <v>93</v>
      </c>
    </row>
    <row r="5" spans="1:15" x14ac:dyDescent="0.35">
      <c r="A5" t="s">
        <v>640</v>
      </c>
      <c r="B5" t="s">
        <v>110</v>
      </c>
      <c r="C5" t="s">
        <v>0</v>
      </c>
      <c r="L5" t="s">
        <v>111</v>
      </c>
    </row>
    <row r="6" spans="1:15" x14ac:dyDescent="0.35">
      <c r="A6" t="s">
        <v>641</v>
      </c>
      <c r="B6" t="s">
        <v>245</v>
      </c>
      <c r="C6" t="s">
        <v>78</v>
      </c>
      <c r="I6" t="s">
        <v>28</v>
      </c>
      <c r="L6" t="s">
        <v>93</v>
      </c>
    </row>
    <row r="7" spans="1:15" x14ac:dyDescent="0.35">
      <c r="A7" t="s">
        <v>642</v>
      </c>
      <c r="B7" t="s">
        <v>149</v>
      </c>
      <c r="K7" t="s">
        <v>643</v>
      </c>
      <c r="L7" t="s">
        <v>111</v>
      </c>
    </row>
    <row r="8" spans="1:15" x14ac:dyDescent="0.35">
      <c r="A8" t="s">
        <v>644</v>
      </c>
      <c r="B8" t="s">
        <v>219</v>
      </c>
      <c r="C8" t="s">
        <v>645</v>
      </c>
      <c r="L8" t="s">
        <v>111</v>
      </c>
    </row>
    <row r="9" spans="1:15" x14ac:dyDescent="0.35">
      <c r="A9" t="s">
        <v>646</v>
      </c>
      <c r="B9" t="s">
        <v>149</v>
      </c>
      <c r="K9" t="s">
        <v>647</v>
      </c>
      <c r="L9" t="s">
        <v>111</v>
      </c>
    </row>
    <row r="10" spans="1:15" x14ac:dyDescent="0.35">
      <c r="A10" t="s">
        <v>648</v>
      </c>
      <c r="B10" t="s">
        <v>219</v>
      </c>
      <c r="C10" t="s">
        <v>649</v>
      </c>
      <c r="L10" t="s">
        <v>111</v>
      </c>
    </row>
    <row r="11" spans="1:15" x14ac:dyDescent="0.35">
      <c r="A11" t="s">
        <v>650</v>
      </c>
      <c r="B11" t="s">
        <v>245</v>
      </c>
      <c r="C11" t="s">
        <v>79</v>
      </c>
      <c r="I11" t="s">
        <v>30</v>
      </c>
      <c r="L11" t="s">
        <v>93</v>
      </c>
    </row>
    <row r="12" spans="1:15" x14ac:dyDescent="0.35">
      <c r="A12" t="s">
        <v>651</v>
      </c>
      <c r="B12" t="s">
        <v>114</v>
      </c>
      <c r="C12" t="s">
        <v>80</v>
      </c>
      <c r="L12" t="s">
        <v>93</v>
      </c>
    </row>
    <row r="13" spans="1:15" x14ac:dyDescent="0.35">
      <c r="A13" t="s">
        <v>652</v>
      </c>
      <c r="B13" t="s">
        <v>116</v>
      </c>
      <c r="C13" t="s">
        <v>258</v>
      </c>
    </row>
    <row r="14" spans="1:15" x14ac:dyDescent="0.35">
      <c r="A14" t="s">
        <v>653</v>
      </c>
      <c r="B14" t="s">
        <v>116</v>
      </c>
      <c r="C14" t="s">
        <v>260</v>
      </c>
    </row>
    <row r="15" spans="1:15" x14ac:dyDescent="0.35">
      <c r="A15" t="s">
        <v>654</v>
      </c>
      <c r="B15" t="s">
        <v>116</v>
      </c>
      <c r="C15" t="e" cm="1">
        <f t="array" ref="C15" xml:space="preserve"> Médiane</f>
        <v>#NAME?</v>
      </c>
    </row>
    <row r="16" spans="1:15" x14ac:dyDescent="0.35">
      <c r="A16" t="s">
        <v>655</v>
      </c>
      <c r="B16" t="s">
        <v>116</v>
      </c>
      <c r="C16" t="s">
        <v>263</v>
      </c>
    </row>
    <row r="17" spans="1:12" x14ac:dyDescent="0.35">
      <c r="A17" t="s">
        <v>656</v>
      </c>
      <c r="B17" t="s">
        <v>116</v>
      </c>
      <c r="C17" t="s">
        <v>265</v>
      </c>
    </row>
    <row r="18" spans="1:12" x14ac:dyDescent="0.35">
      <c r="A18" t="s">
        <v>657</v>
      </c>
      <c r="B18" t="s">
        <v>116</v>
      </c>
      <c r="C18" t="s">
        <v>267</v>
      </c>
    </row>
    <row r="19" spans="1:12" x14ac:dyDescent="0.35">
      <c r="A19" t="s">
        <v>658</v>
      </c>
      <c r="B19" t="s">
        <v>116</v>
      </c>
      <c r="C19" t="s">
        <v>269</v>
      </c>
    </row>
    <row r="20" spans="1:12" x14ac:dyDescent="0.35">
      <c r="A20" t="s">
        <v>659</v>
      </c>
      <c r="B20" t="s">
        <v>116</v>
      </c>
      <c r="C20" t="s">
        <v>271</v>
      </c>
    </row>
    <row r="21" spans="1:12" x14ac:dyDescent="0.35">
      <c r="A21" t="s">
        <v>660</v>
      </c>
      <c r="B21" t="s">
        <v>116</v>
      </c>
      <c r="C21" t="s">
        <v>273</v>
      </c>
    </row>
    <row r="22" spans="1:12" x14ac:dyDescent="0.35">
      <c r="A22" t="s">
        <v>661</v>
      </c>
      <c r="B22" t="s">
        <v>116</v>
      </c>
      <c r="C22" t="s">
        <v>275</v>
      </c>
    </row>
    <row r="23" spans="1:12" x14ac:dyDescent="0.35">
      <c r="A23" t="s">
        <v>662</v>
      </c>
      <c r="B23" t="s">
        <v>116</v>
      </c>
      <c r="C23" t="s">
        <v>277</v>
      </c>
    </row>
    <row r="24" spans="1:12" x14ac:dyDescent="0.35">
      <c r="A24" t="s">
        <v>663</v>
      </c>
      <c r="B24" t="s">
        <v>116</v>
      </c>
      <c r="C24" t="s">
        <v>279</v>
      </c>
    </row>
    <row r="25" spans="1:12" x14ac:dyDescent="0.35">
      <c r="A25" t="s">
        <v>664</v>
      </c>
      <c r="B25" t="s">
        <v>116</v>
      </c>
      <c r="C25" t="s">
        <v>281</v>
      </c>
    </row>
    <row r="26" spans="1:12" x14ac:dyDescent="0.35">
      <c r="A26" t="s">
        <v>665</v>
      </c>
      <c r="B26" t="s">
        <v>116</v>
      </c>
      <c r="C26" t="s">
        <v>283</v>
      </c>
    </row>
    <row r="27" spans="1:12" x14ac:dyDescent="0.35">
      <c r="A27" t="s">
        <v>666</v>
      </c>
      <c r="B27" t="s">
        <v>116</v>
      </c>
      <c r="C27" t="s">
        <v>285</v>
      </c>
    </row>
    <row r="28" spans="1:12" x14ac:dyDescent="0.35">
      <c r="A28" t="s">
        <v>667</v>
      </c>
      <c r="B28" t="s">
        <v>245</v>
      </c>
      <c r="C28" t="s">
        <v>33</v>
      </c>
      <c r="I28" t="s">
        <v>34</v>
      </c>
      <c r="L28" t="s">
        <v>93</v>
      </c>
    </row>
    <row r="29" spans="1:12" x14ac:dyDescent="0.35">
      <c r="A29" t="s">
        <v>668</v>
      </c>
      <c r="B29" t="s">
        <v>114</v>
      </c>
      <c r="C29" t="s">
        <v>32</v>
      </c>
      <c r="L29" t="s">
        <v>93</v>
      </c>
    </row>
    <row r="30" spans="1:12" x14ac:dyDescent="0.35">
      <c r="A30" t="s">
        <v>669</v>
      </c>
      <c r="B30" t="s">
        <v>116</v>
      </c>
      <c r="C30" t="s">
        <v>288</v>
      </c>
    </row>
    <row r="31" spans="1:12" x14ac:dyDescent="0.35">
      <c r="A31" t="s">
        <v>670</v>
      </c>
      <c r="B31" t="s">
        <v>116</v>
      </c>
      <c r="C31" t="s">
        <v>290</v>
      </c>
    </row>
    <row r="32" spans="1:12" x14ac:dyDescent="0.35">
      <c r="A32" t="s">
        <v>671</v>
      </c>
      <c r="B32" t="s">
        <v>116</v>
      </c>
      <c r="C32" t="s">
        <v>292</v>
      </c>
    </row>
    <row r="33" spans="1:12" x14ac:dyDescent="0.35">
      <c r="A33" t="s">
        <v>672</v>
      </c>
      <c r="B33" t="s">
        <v>116</v>
      </c>
      <c r="C33" t="s">
        <v>294</v>
      </c>
    </row>
    <row r="34" spans="1:12" x14ac:dyDescent="0.35">
      <c r="A34" t="s">
        <v>673</v>
      </c>
      <c r="B34" t="s">
        <v>114</v>
      </c>
      <c r="C34" t="s">
        <v>1</v>
      </c>
      <c r="L34" t="s">
        <v>93</v>
      </c>
    </row>
    <row r="35" spans="1:12" x14ac:dyDescent="0.35">
      <c r="A35" t="s">
        <v>674</v>
      </c>
      <c r="B35" t="s">
        <v>116</v>
      </c>
      <c r="C35" t="s">
        <v>386</v>
      </c>
    </row>
    <row r="36" spans="1:12" x14ac:dyDescent="0.35">
      <c r="A36" t="s">
        <v>675</v>
      </c>
      <c r="B36" t="s">
        <v>116</v>
      </c>
      <c r="C36" t="s">
        <v>382</v>
      </c>
    </row>
    <row r="37" spans="1:12" x14ac:dyDescent="0.35">
      <c r="A37" t="s">
        <v>676</v>
      </c>
      <c r="B37" t="s">
        <v>116</v>
      </c>
      <c r="C37" t="s">
        <v>392</v>
      </c>
    </row>
    <row r="38" spans="1:12" x14ac:dyDescent="0.35">
      <c r="A38" t="s">
        <v>677</v>
      </c>
      <c r="B38" t="s">
        <v>116</v>
      </c>
      <c r="C38" t="s">
        <v>526</v>
      </c>
    </row>
    <row r="39" spans="1:12" x14ac:dyDescent="0.35">
      <c r="A39" t="s">
        <v>678</v>
      </c>
      <c r="B39" t="s">
        <v>116</v>
      </c>
      <c r="C39" t="s">
        <v>394</v>
      </c>
    </row>
    <row r="40" spans="1:12" x14ac:dyDescent="0.35">
      <c r="A40" t="s">
        <v>679</v>
      </c>
      <c r="B40" t="s">
        <v>149</v>
      </c>
      <c r="K40" t="s">
        <v>680</v>
      </c>
      <c r="L40" t="s">
        <v>111</v>
      </c>
    </row>
    <row r="41" spans="1:12" x14ac:dyDescent="0.35">
      <c r="A41" t="s">
        <v>681</v>
      </c>
      <c r="B41" t="s">
        <v>149</v>
      </c>
      <c r="K41" t="s">
        <v>682</v>
      </c>
      <c r="L41" t="s">
        <v>111</v>
      </c>
    </row>
    <row r="42" spans="1:12" x14ac:dyDescent="0.35">
      <c r="A42" t="s">
        <v>683</v>
      </c>
      <c r="B42" t="s">
        <v>149</v>
      </c>
      <c r="K42" t="s">
        <v>684</v>
      </c>
      <c r="L42" t="s">
        <v>111</v>
      </c>
    </row>
    <row r="43" spans="1:12" x14ac:dyDescent="0.35">
      <c r="A43" t="s">
        <v>685</v>
      </c>
      <c r="B43" t="s">
        <v>149</v>
      </c>
      <c r="K43">
        <v>0</v>
      </c>
      <c r="L43" t="s">
        <v>111</v>
      </c>
    </row>
    <row r="44" spans="1:12" x14ac:dyDescent="0.35">
      <c r="A44" t="s">
        <v>686</v>
      </c>
      <c r="B44" t="s">
        <v>4</v>
      </c>
      <c r="C44" t="s">
        <v>81</v>
      </c>
      <c r="L44" t="s">
        <v>93</v>
      </c>
    </row>
    <row r="45" spans="1:12" x14ac:dyDescent="0.35">
      <c r="A45" t="s">
        <v>687</v>
      </c>
      <c r="B45" t="s">
        <v>4</v>
      </c>
      <c r="C45" t="s">
        <v>82</v>
      </c>
      <c r="L45" t="s">
        <v>111</v>
      </c>
    </row>
    <row r="46" spans="1:12" x14ac:dyDescent="0.35">
      <c r="A46" t="s">
        <v>236</v>
      </c>
      <c r="B46" t="s">
        <v>114</v>
      </c>
      <c r="C46" t="s">
        <v>25</v>
      </c>
      <c r="L46" t="s">
        <v>93</v>
      </c>
    </row>
    <row r="47" spans="1:12" x14ac:dyDescent="0.35">
      <c r="A47" t="s">
        <v>237</v>
      </c>
      <c r="B47" t="s">
        <v>116</v>
      </c>
      <c r="C47" t="s">
        <v>216</v>
      </c>
    </row>
    <row r="48" spans="1:12" x14ac:dyDescent="0.35">
      <c r="A48" t="s">
        <v>238</v>
      </c>
      <c r="B48" t="s">
        <v>116</v>
      </c>
      <c r="C48" t="s">
        <v>214</v>
      </c>
    </row>
    <row r="49" spans="1:12" x14ac:dyDescent="0.35">
      <c r="A49" t="s">
        <v>232</v>
      </c>
      <c r="B49" t="s">
        <v>4</v>
      </c>
      <c r="C49" t="s">
        <v>3</v>
      </c>
      <c r="L49" t="s">
        <v>93</v>
      </c>
    </row>
    <row r="50" spans="1:12" x14ac:dyDescent="0.35">
      <c r="A50" t="s">
        <v>359</v>
      </c>
      <c r="B50" t="s">
        <v>110</v>
      </c>
      <c r="C50" t="s">
        <v>16</v>
      </c>
      <c r="L50" t="s">
        <v>111</v>
      </c>
    </row>
    <row r="51" spans="1:12" x14ac:dyDescent="0.35">
      <c r="A51" t="s">
        <v>688</v>
      </c>
      <c r="B51" t="s">
        <v>219</v>
      </c>
      <c r="C51" s="1" t="s">
        <v>689</v>
      </c>
      <c r="L51" t="s">
        <v>111</v>
      </c>
    </row>
    <row r="52" spans="1:12" x14ac:dyDescent="0.35">
      <c r="A52" t="s">
        <v>402</v>
      </c>
      <c r="B52" t="s">
        <v>114</v>
      </c>
      <c r="C52" t="s">
        <v>66</v>
      </c>
      <c r="L52" t="s">
        <v>93</v>
      </c>
    </row>
    <row r="53" spans="1:12" x14ac:dyDescent="0.35">
      <c r="A53" t="s">
        <v>403</v>
      </c>
      <c r="B53" t="s">
        <v>116</v>
      </c>
      <c r="C5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Enregistrement</vt:lpstr>
      <vt:lpstr>Visite PNS</vt:lpstr>
      <vt:lpstr>Exeat PNS</vt:lpstr>
      <vt:lpstr>Visite PTA</vt:lpstr>
      <vt:lpstr>Exeat PTA</vt:lpstr>
      <vt:lpstr>Visite USN</vt:lpstr>
      <vt:lpstr>Exeat USN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Scaide Benjaminel Urimmaculus</cp:lastModifiedBy>
  <dcterms:created xsi:type="dcterms:W3CDTF">2026-03-12T10:52:07Z</dcterms:created>
  <dcterms:modified xsi:type="dcterms:W3CDTF">2026-03-18T19:23:26Z</dcterms:modified>
</cp:coreProperties>
</file>